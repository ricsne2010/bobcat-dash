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definedNames>
    <definedName function="false" hidden="false" localSheetId="0" name="_xlnm.Print_Titles" vbProcedure="false">BOM!$5:$5</definedName>
    <definedName function="false" hidden="true" localSheetId="0" name="_xlnm._FilterDatabase" vbProcedure="false">BOM!$A$5:$K$86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<sst xmlns="http://schemas.openxmlformats.org/spreadsheetml/2006/main" count="342" uniqueCount="233">
  <si>
    <t xml:space="preserve">Bobcat Digital Dash — Bill of Materials</t>
  </si>
  <si>
    <t xml:space="preserve">Matches wiring-schematic.jpg ("Sch. n" = schematic section) and README.md.</t>
  </si>
  <si>
    <t xml:space="preserve">How to use: enter prices in the yellow cells (e.g. 4.95); extended prices and totals update automatically. Mark Ordered with Y/N.</t>
  </si>
  <si>
    <t xml:space="preserve">Item</t>
  </si>
  <si>
    <t xml:space="preserve">Qty</t>
  </si>
  <si>
    <t xml:space="preserve">Part</t>
  </si>
  <si>
    <t xml:space="preserve">Value / Spec</t>
  </si>
  <si>
    <t xml:space="preserve">Example Part No.</t>
  </si>
  <si>
    <t xml:space="preserve">Used In</t>
  </si>
  <si>
    <t xml:space="preserve">Notes</t>
  </si>
  <si>
    <t xml:space="preserve">Unit Price (USD)</t>
  </si>
  <si>
    <t xml:space="preserve">Ext. Price (USD)</t>
  </si>
  <si>
    <t xml:space="preserve">Supplier</t>
  </si>
  <si>
    <t xml:space="preserve">Ordered</t>
  </si>
  <si>
    <t xml:space="preserve">COMPUTER + DISPLAY</t>
  </si>
  <si>
    <t xml:space="preserve">Raspberry Pi</t>
  </si>
  <si>
    <t xml:space="preserve">Pi 4 Model B (2 GB+) or Pi 5</t>
  </si>
  <si>
    <t xml:space="preserve">Raspberry Pi 4B / Pi 5</t>
  </si>
  <si>
    <t xml:space="preserve">Sch. 2</t>
  </si>
  <si>
    <t xml:space="preserve">Pi 5 needs a 5 A supply</t>
  </si>
  <si>
    <t xml:space="preserve">microSD card</t>
  </si>
  <si>
    <t xml:space="preserve">16–32 GB, high-endurance, A1/A2</t>
  </si>
  <si>
    <t xml:space="preserve">SanDisk High Endurance</t>
  </si>
  <si>
    <t xml:space="preserve">—</t>
  </si>
  <si>
    <t xml:space="preserve">Do NOT enable the overlay file system: it would erase the engine hours</t>
  </si>
  <si>
    <t xml:space="preserve">Weatherproof HDMI monitor</t>
  </si>
  <si>
    <t xml:space="preserve">12 V powered, IP65+, ≥800 nits, 1024×768 or similar</t>
  </si>
  <si>
    <t xml:space="preserve">README: Monitor</t>
  </si>
  <si>
    <t xml:space="preserve">Sunlight-readable strongly recommended. Note its native resolution for the splash + video= setting</t>
  </si>
  <si>
    <t xml:space="preserve">HDMI cable</t>
  </si>
  <si>
    <t xml:space="preserve">Micro-HDMI to HDMI, long enough to reach the monitor (≤5 m)</t>
  </si>
  <si>
    <t xml:space="preserve">Pi 4/5 use micro-HDMI. Strain-relieve both ends</t>
  </si>
  <si>
    <t xml:space="preserve">Inline fuse holder + fuse</t>
  </si>
  <si>
    <t xml:space="preserve">Blade type, size from the monitor's manual (typ. 3–5 A)</t>
  </si>
  <si>
    <t xml:space="preserve">Key-switched 12 V feed to the monitor. Ground the monitor at the board's ground point</t>
  </si>
  <si>
    <t xml:space="preserve">Heatsink or fan case</t>
  </si>
  <si>
    <t xml:space="preserve">For Pi 4/5</t>
  </si>
  <si>
    <t xml:space="preserve">Enclosed cab gets hot in summer</t>
  </si>
  <si>
    <t xml:space="preserve">Subtotal — Computer + Display</t>
  </si>
  <si>
    <t xml:space="preserve">POWER</t>
  </si>
  <si>
    <t xml:space="preserve">Buck converter 12 V → 5 V</t>
  </si>
  <si>
    <t xml:space="preserve">5 A, 8–36 V input, automotive</t>
  </si>
  <si>
    <t xml:space="preserve">Sch. 1</t>
  </si>
  <si>
    <t xml:space="preserve">Not a cigarette-lighter USB plug</t>
  </si>
  <si>
    <t xml:space="preserve">Blade type, 7.5 A</t>
  </si>
  <si>
    <t xml:space="preserve">At the battery, on the constant +12 V feed to the board's BAT+ (rev 2.0). Hand-wired without the board: 3 A on the ignition feed instead</t>
  </si>
  <si>
    <t xml:space="preserve">Blade type, 2 A</t>
  </si>
  <si>
    <t xml:space="preserve">Board README</t>
  </si>
  <si>
    <t xml:space="preserve">At the key switch, on the IGN sense wire to the board (rev 2.0)</t>
  </si>
  <si>
    <t xml:space="preserve">USB-C power lead / pigtail</t>
  </si>
  <si>
    <t xml:space="preserve">Buck output to Pi</t>
  </si>
  <si>
    <t xml:space="preserve">Or feed the Pi's 5 V header pins</t>
  </si>
  <si>
    <t xml:space="preserve">Subtotal — Power</t>
  </si>
  <si>
    <t xml:space="preserve">SENSOR INTERFACE</t>
  </si>
  <si>
    <t xml:space="preserve">ADC board</t>
  </si>
  <si>
    <t xml:space="preserve">ADS1115 16-bit, 4-ch, I2C</t>
  </si>
  <si>
    <t xml:space="preserve">Adafruit 1085 or clone</t>
  </si>
  <si>
    <t xml:space="preserve">Sch. 2–4</t>
  </si>
  <si>
    <t xml:space="preserve">Address 0x48 (ADDR to GND)</t>
  </si>
  <si>
    <t xml:space="preserve">Optocoupler</t>
  </si>
  <si>
    <t xml:space="preserve">PC817</t>
  </si>
  <si>
    <t xml:space="preserve">Sch. 5</t>
  </si>
  <si>
    <t xml:space="preserve">Oil pressure and tach</t>
  </si>
  <si>
    <t xml:space="preserve">Resistor 47 kΩ</t>
  </si>
  <si>
    <t xml:space="preserve">1/4 W, 1 %</t>
  </si>
  <si>
    <t xml:space="preserve">Sch. 3</t>
  </si>
  <si>
    <t xml:space="preserve">Battery divider top (ratio 5.7)</t>
  </si>
  <si>
    <t xml:space="preserve">Resistor 10 kΩ</t>
  </si>
  <si>
    <t xml:space="preserve">Sch. 3, 5, 6</t>
  </si>
  <si>
    <t xml:space="preserve">Battery divider, filter/temp series (2), horn gate pull-down</t>
  </si>
  <si>
    <t xml:space="preserve">Resistor 220 Ω</t>
  </si>
  <si>
    <t xml:space="preserve">1/4 W</t>
  </si>
  <si>
    <t xml:space="preserve">Sch. 4</t>
  </si>
  <si>
    <t xml:space="preserve">Fuel sender pull-up</t>
  </si>
  <si>
    <t xml:space="preserve">Resistor 2.2 kΩ</t>
  </si>
  <si>
    <t xml:space="preserve">Optocoupler LED current</t>
  </si>
  <si>
    <t xml:space="preserve">Resistor 4.7 kΩ</t>
  </si>
  <si>
    <t xml:space="preserve">Tach pull-up, filter/temp pull-ups to 3.3 V</t>
  </si>
  <si>
    <t xml:space="preserve">Schottky diode</t>
  </si>
  <si>
    <t xml:space="preserve">BAT85, DO-35</t>
  </si>
  <si>
    <t xml:space="preserve">BAT85</t>
  </si>
  <si>
    <t xml:space="preserve">Sch. 3, 4, 5</t>
  </si>
  <si>
    <t xml:space="preserve">ADC input clamps: one to 3.3 V, one to GND per input (A0-A3)</t>
  </si>
  <si>
    <t xml:space="preserve">Signal diode</t>
  </si>
  <si>
    <t xml:space="preserve">1N4148</t>
  </si>
  <si>
    <t xml:space="preserve">Reverse protection across opto LEDs</t>
  </si>
  <si>
    <t xml:space="preserve">Capacitor 0.1 µF</t>
  </si>
  <si>
    <t xml:space="preserve">Ceramic, 50 V</t>
  </si>
  <si>
    <t xml:space="preserve">ADC input filter (A0-A3)</t>
  </si>
  <si>
    <t xml:space="preserve">Status LED + 470 Ω (optional)</t>
  </si>
  <si>
    <t xml:space="preserve">3 mm yellow LED, 1/4 W resistor</t>
  </si>
  <si>
    <t xml:space="preserve">Sch. 5 note</t>
  </si>
  <si>
    <t xml:space="preserve">GPIO23 / GPIO24 filter/temp LEDs: on = active, blink = wire broken</t>
  </si>
  <si>
    <t xml:space="preserve">Subtotal — Sensor Interface</t>
  </si>
  <si>
    <t xml:space="preserve">SENSORS</t>
  </si>
  <si>
    <t xml:space="preserve">Hall-effect sensor (OPTIONAL)</t>
  </si>
  <si>
    <t xml:space="preserve">NPN, normally open, 6–36 V, M12</t>
  </si>
  <si>
    <t xml:space="preserve">NJK-5002C</t>
  </si>
  <si>
    <t xml:space="preserve">Not needed: this machine reads RPM from the ignition coil (board COIL input, rev 2.2+). Only for the Hall option</t>
  </si>
  <si>
    <t xml:space="preserve">Magnet (OPTIONAL)</t>
  </si>
  <si>
    <t xml:space="preserve">Neodymium, ~10 mm, + high-temp epoxy</t>
  </si>
  <si>
    <t xml:space="preserve">Hall option only: on crank pulley; pulses_per_rev = 1</t>
  </si>
  <si>
    <t xml:space="preserve">Sensor bracket (OPTIONAL)</t>
  </si>
  <si>
    <t xml:space="preserve">Steel, holds Hall sensor 3–8 mm from magnet</t>
  </si>
  <si>
    <t xml:space="preserve">Hall option only</t>
  </si>
  <si>
    <t xml:space="preserve">End-of-line resistor 4.7 kΩ</t>
  </si>
  <si>
    <t xml:space="preserve">1/2 W metal film, 1 %, 155 °C rated</t>
  </si>
  <si>
    <t xml:space="preserve">One across each filter / temp switch, AT the switch. Seal in adhesive-lined heat-shrink.</t>
  </si>
  <si>
    <t xml:space="preserve">Subtotal — Sensors</t>
  </si>
  <si>
    <t xml:space="preserve">ALARM + SOUND</t>
  </si>
  <si>
    <t xml:space="preserve">Piezo alarm</t>
  </si>
  <si>
    <t xml:space="preserve">12 V, 100–110 dB, IP65+, panel mount</t>
  </si>
  <si>
    <t xml:space="preserve">Sch. 6</t>
  </si>
  <si>
    <t xml:space="preserve">The horn: mount aimed at the operator</t>
  </si>
  <si>
    <t xml:space="preserve">N-MOSFET, logic-level</t>
  </si>
  <si>
    <t xml:space="preserve">IRLZ44N (TO-220) or AO3400 (SMD)</t>
  </si>
  <si>
    <t xml:space="preserve">IRLZ44N</t>
  </si>
  <si>
    <t xml:space="preserve">Or a 1-ch opto relay module instead</t>
  </si>
  <si>
    <t xml:space="preserve">Resistor 100 Ω</t>
  </si>
  <si>
    <t xml:space="preserve">MOSFET gate resistor</t>
  </si>
  <si>
    <t xml:space="preserve">Blade type, 1 A</t>
  </si>
  <si>
    <t xml:space="preserve">Horn circuit</t>
  </si>
  <si>
    <t xml:space="preserve">Push button</t>
  </si>
  <si>
    <t xml:space="preserve">Momentary, panel mount, IP67</t>
  </si>
  <si>
    <t xml:space="preserve">Silence button, GPIO 5. Glove-friendly size</t>
  </si>
  <si>
    <t xml:space="preserve">I2S amplifier board</t>
  </si>
  <si>
    <t xml:space="preserve">MAX98357A, 3 W</t>
  </si>
  <si>
    <t xml:space="preserve">Adafruit 3006 or clone</t>
  </si>
  <si>
    <t xml:space="preserve">dtoverlay=max98357a</t>
  </si>
  <si>
    <t xml:space="preserve">Speaker</t>
  </si>
  <si>
    <t xml:space="preserve">4 Ω, 3 W, weather-resistant</t>
  </si>
  <si>
    <t xml:space="preserve">Startup chime + in-cab alert tones</t>
  </si>
  <si>
    <t xml:space="preserve">Rectifier diode (optional)</t>
  </si>
  <si>
    <t xml:space="preserve">1N4007</t>
  </si>
  <si>
    <t xml:space="preserve">Only with a coil horn or relay</t>
  </si>
  <si>
    <t xml:space="preserve">Subtotal — Alarm + Sound</t>
  </si>
  <si>
    <t xml:space="preserve">BREAKOUT BOARD rev 2.4 (replaces the perfboard; key-off shutdown, light sensing, coil tach in its own HV corner)</t>
  </si>
  <si>
    <t xml:space="preserve">Bare PCB</t>
  </si>
  <si>
    <t xml:space="preserve">150 × 134 mm, 2 layers, 1.6 mm, 1 oz</t>
  </si>
  <si>
    <t xml:space="preserve">breakout-board/fab gerbers zip</t>
  </si>
  <si>
    <t xml:space="preserve">Most board makers sell a minimum of 5. Has the Project Moon Pi logo on the back</t>
  </si>
  <si>
    <t xml:space="preserve">Board components kit</t>
  </si>
  <si>
    <t xml:space="preserve">Everything in breakout-board/fab/board-bom.csv</t>
  </si>
  <si>
    <t xml:space="preserve">Includes the resistors, diodes, optos and MOSFET listed above, plus the power-hold parts (IRF4905, CD4060, BC547 ×2)</t>
  </si>
  <si>
    <t xml:space="preserve">Pluggable terminal plugs</t>
  </si>
  <si>
    <t xml:space="preserve">5.08 mm: 5× 2-pin, 3× 3-pin, 1× 4-pin</t>
  </si>
  <si>
    <t xml:space="preserve">Phoenix MSTB 2,5/x-ST-5,08</t>
  </si>
  <si>
    <t xml:space="preserve">Mate with the board's MSTBA headers</t>
  </si>
  <si>
    <t xml:space="preserve">40-pin IDC ribbon cable</t>
  </si>
  <si>
    <t xml:space="preserve">Female–female, 15–30 cm</t>
  </si>
  <si>
    <t xml:space="preserve">Pi GPIO to board J1, pin 1 to pin 1</t>
  </si>
  <si>
    <t xml:space="preserve">IC socket</t>
  </si>
  <si>
    <t xml:space="preserve">DIP-16, 7.62 mm</t>
  </si>
  <si>
    <t xml:space="preserve">Optional, for U6 (CD4060)</t>
  </si>
  <si>
    <t xml:space="preserve">Jumper shunt</t>
  </si>
  <si>
    <t xml:space="preserve">2.54 mm</t>
  </si>
  <si>
    <t xml:space="preserve">JP1 / JP2 fuel mode</t>
  </si>
  <si>
    <t xml:space="preserve">Subtotal — Breakout Board Rev 2.4</t>
  </si>
  <si>
    <t xml:space="preserve">LIGHTS (feed + sensing): see lights-wiring.jpg</t>
  </si>
  <si>
    <t xml:space="preserve">Automotive relay</t>
  </si>
  <si>
    <t xml:space="preserve">12 V mini ISO, 4-pin, normally open, 30/40 A, WITH suppression diode</t>
  </si>
  <si>
    <t xml:space="preserve">lights-wiring.jpg</t>
  </si>
  <si>
    <t xml:space="preserve">Key ON/RUN drives the coil (86 = +, 85 = ground). Feeds the light switches</t>
  </si>
  <si>
    <t xml:space="preserve">Relay socket / pigtail</t>
  </si>
  <si>
    <t xml:space="preserve">Weatherproof, for a 4-pin mini ISO relay</t>
  </si>
  <si>
    <t xml:space="preserve">Or use a sealed fuse + relay box instead of this, the relay fuse and the two branch fuses</t>
  </si>
  <si>
    <t xml:space="preserve">Blade, 15 A (size for all the lights)</t>
  </si>
  <si>
    <t xml:space="preserve">Battery + to relay 30, within 18 in of the battery</t>
  </si>
  <si>
    <t xml:space="preserve">Blade, 3 A</t>
  </si>
  <si>
    <t xml:space="preserve">Key ON/RUN to relay 86 (coil)</t>
  </si>
  <si>
    <t xml:space="preserve">Blade, FRONT 10 A and REAR/WORK 7.5 A (size to your lights)</t>
  </si>
  <si>
    <t xml:space="preserve">Relay 87 to each switch. Fuse = watts ÷ 12 × 1.25</t>
  </si>
  <si>
    <t xml:space="preserve">Blade, 1 A</t>
  </si>
  <si>
    <t xml:space="preserve">One per sense wire (front, rear, work), at the tap on the lamp side of the switch</t>
  </si>
  <si>
    <t xml:space="preserve">Light switch</t>
  </si>
  <si>
    <t xml:space="preserve">≥15 A at 12 V DC, sealed: 1 × SPST on/off, 1 × SPDT ON-OFF-ON</t>
  </si>
  <si>
    <t xml:space="preserve">Front on/off; back up = rear, middle = off, down = work</t>
  </si>
  <si>
    <t xml:space="preserve">Subtotal — Lights</t>
  </si>
  <si>
    <t xml:space="preserve">CHARGING: Delco 10SI 3-wire alternator (wiring-schematic.jpg, section 7)</t>
  </si>
  <si>
    <t xml:space="preserve">Rectifier diode</t>
  </si>
  <si>
    <t xml:space="preserve">1N4001, 1 A 50 V</t>
  </si>
  <si>
    <t xml:space="preserve">1N4001</t>
  </si>
  <si>
    <t xml:space="preserve">Sch. 7</t>
  </si>
  <si>
    <t xml:space="preserve">In the terminal 1 (excite) wire, band toward the alternator: stops the running alternator back-feeding the key circuit (engine run-on, dash never sees key-off)</t>
  </si>
  <si>
    <t xml:space="preserve">Resistor 47 Ω</t>
  </si>
  <si>
    <t xml:space="preserve">5 W wirewound</t>
  </si>
  <si>
    <t xml:space="preserve">In series with the diode: ~0.25 A with the key on and the engine stopped, like the charge lamp it replaces. Use the alternator maker's value if they give one</t>
  </si>
  <si>
    <t xml:space="preserve">Fusible link or circuit breaker</t>
  </si>
  <si>
    <t xml:space="preserve">Rated for the alternator (e.g. 60 A)</t>
  </si>
  <si>
    <t xml:space="preserve">On the BAT stud wire, near the battery end. 8 AWG wire (10 AWG for 45 A units)</t>
  </si>
  <si>
    <t xml:space="preserve">Subtotal — Charging: Delco 10Si 3-Wire Alternator</t>
  </si>
  <si>
    <t xml:space="preserve">WIRING + ENCLOSURE</t>
  </si>
  <si>
    <t xml:space="preserve">Enclosure</t>
  </si>
  <si>
    <t xml:space="preserve">IP65+, fits Pi + interface boards</t>
  </si>
  <si>
    <t xml:space="preserve">Vibration-mount it</t>
  </si>
  <si>
    <t xml:space="preserve">Prototype board</t>
  </si>
  <si>
    <t xml:space="preserve">Perfboard / stripboard</t>
  </si>
  <si>
    <t xml:space="preserve">Only if hand-wiring instead of the breakout board</t>
  </si>
  <si>
    <t xml:space="preserve">Automotive wire</t>
  </si>
  <si>
    <t xml:space="preserve">18 AWG TXL/GXL, several colors</t>
  </si>
  <si>
    <t xml:space="preserve">Lot</t>
  </si>
  <si>
    <t xml:space="preserve">Sealed connectors</t>
  </si>
  <si>
    <t xml:space="preserve">Deutsch DT or Weatherpack assortment</t>
  </si>
  <si>
    <t xml:space="preserve">Avoid loose Dupont jumpers on the machine</t>
  </si>
  <si>
    <t xml:space="preserve">Screw terminal blocks</t>
  </si>
  <si>
    <t xml:space="preserve">PCB 5 mm pitch assortment</t>
  </si>
  <si>
    <t xml:space="preserve">Field wiring into the enclosure</t>
  </si>
  <si>
    <t xml:space="preserve">Heat-shrink + terminals</t>
  </si>
  <si>
    <t xml:space="preserve">Assortment</t>
  </si>
  <si>
    <t xml:space="preserve">Display mount</t>
  </si>
  <si>
    <t xml:space="preserve">RAM-style ball mount or bracket</t>
  </si>
  <si>
    <t xml:space="preserve">With vibration damping</t>
  </si>
  <si>
    <t xml:space="preserve">Standoffs</t>
  </si>
  <si>
    <t xml:space="preserve">M2.5 nylon/brass set</t>
  </si>
  <si>
    <t xml:space="preserve">Mount Pi and boards</t>
  </si>
  <si>
    <t xml:space="preserve">Subtotal — Wiring + Enclosure</t>
  </si>
  <si>
    <t xml:space="preserve">EXISTING MACHINE PARTS (reuse, check they work)</t>
  </si>
  <si>
    <t xml:space="preserve">Oil pressure switch</t>
  </si>
  <si>
    <t xml:space="preserve">Original, closes on low pressure</t>
  </si>
  <si>
    <t xml:space="preserve">GPIO 22 via optocoupler</t>
  </si>
  <si>
    <t xml:space="preserve">Hydraulic filter bypass switch</t>
  </si>
  <si>
    <t xml:space="preserve">Original, closes on bypass</t>
  </si>
  <si>
    <t xml:space="preserve">ADS1115 A2, monitored (4.7k EOL resistor at the switch)</t>
  </si>
  <si>
    <t xml:space="preserve">Hydraulic oil temp switch</t>
  </si>
  <si>
    <t xml:space="preserve">Original, closes when hot</t>
  </si>
  <si>
    <t xml:space="preserve">ADS1115 A3, monitored (4.7k EOL resistor at the switch)</t>
  </si>
  <si>
    <t xml:space="preserve">Fuel sender</t>
  </si>
  <si>
    <t xml:space="preserve">Original, in tank</t>
  </si>
  <si>
    <t xml:space="preserve">Calibrate with dash.py --calibrate</t>
  </si>
  <si>
    <t xml:space="preserve">Subtotal — Existing Machine Parts</t>
  </si>
  <si>
    <t xml:space="preserve">TOTAL (all sections)</t>
  </si>
  <si>
    <t xml:space="preserve">Items still to order (excl. existing parts)</t>
  </si>
  <si>
    <t xml:space="preserve">Notes: Qty in blue = quantity per machine. Existing machine parts usually cost $0 unless one needs replacing. Prices are left blank on purpose. Enter what you actually pay.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</si>
</sst>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44"/>
    <col collapsed="false" customWidth="true" hidden="false" outlineLevel="0" max="9" min="8" style="0" width="15"/>
    <col collapsed="false" customWidth="true" hidden="false" outlineLevel="0" max="10" min="10" style="0" width="16"/>
    <col collapsed="false" customWidth="true" hidden="false" outlineLevel="0" max="11" min="11" style="0" width="9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s">
        <v>14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5" hidden="false" customHeight="false" outlineLevel="0" collapsed="false">
      <c r="A7" s="6" t="n">
        <v>1</v>
      </c>
      <c r="B7" s="7" t="n">
        <v>1</v>
      </c>
      <c r="C7" s="8" t="s">
        <v>15</v>
      </c>
      <c r="D7" s="8" t="s">
        <v>16</v>
      </c>
      <c r="E7" s="8" t="s">
        <v>17</v>
      </c>
      <c r="F7" s="6" t="s">
        <v>18</v>
      </c>
      <c r="G7" s="8" t="s">
        <v>19</v>
      </c>
      <c r="H7" s="9"/>
      <c r="I7" s="10" t="n">
        <f aca="false">B7*H7</f>
        <v>0</v>
      </c>
      <c r="J7" s="11"/>
      <c r="K7" s="12"/>
    </row>
    <row r="8" customFormat="false" ht="26.85" hidden="false" customHeight="false" outlineLevel="0" collapsed="false">
      <c r="A8" s="6" t="n">
        <v>2</v>
      </c>
      <c r="B8" s="7" t="n">
        <v>1</v>
      </c>
      <c r="C8" s="8" t="s">
        <v>20</v>
      </c>
      <c r="D8" s="8" t="s">
        <v>21</v>
      </c>
      <c r="E8" s="8" t="s">
        <v>22</v>
      </c>
      <c r="F8" s="6" t="s">
        <v>23</v>
      </c>
      <c r="G8" s="8" t="s">
        <v>24</v>
      </c>
      <c r="H8" s="9"/>
      <c r="I8" s="10" t="n">
        <f aca="false">B8*H8</f>
        <v>0</v>
      </c>
      <c r="J8" s="11"/>
      <c r="K8" s="12"/>
    </row>
    <row r="9" customFormat="false" ht="39.55" hidden="false" customHeight="false" outlineLevel="0" collapsed="false">
      <c r="A9" s="6" t="n">
        <v>3</v>
      </c>
      <c r="B9" s="7" t="n">
        <v>1</v>
      </c>
      <c r="C9" s="8" t="s">
        <v>25</v>
      </c>
      <c r="D9" s="8" t="s">
        <v>26</v>
      </c>
      <c r="E9" s="8" t="s">
        <v>23</v>
      </c>
      <c r="F9" s="6" t="s">
        <v>27</v>
      </c>
      <c r="G9" s="8" t="s">
        <v>28</v>
      </c>
      <c r="H9" s="9"/>
      <c r="I9" s="10" t="n">
        <f aca="false">B9*H9</f>
        <v>0</v>
      </c>
      <c r="J9" s="11"/>
      <c r="K9" s="12"/>
    </row>
    <row r="10" customFormat="false" ht="26.85" hidden="false" customHeight="false" outlineLevel="0" collapsed="false">
      <c r="A10" s="6" t="n">
        <v>4</v>
      </c>
      <c r="B10" s="7" t="n">
        <v>1</v>
      </c>
      <c r="C10" s="8" t="s">
        <v>29</v>
      </c>
      <c r="D10" s="8" t="s">
        <v>30</v>
      </c>
      <c r="E10" s="8" t="s">
        <v>23</v>
      </c>
      <c r="F10" s="6" t="s">
        <v>27</v>
      </c>
      <c r="G10" s="8" t="s">
        <v>31</v>
      </c>
      <c r="H10" s="9"/>
      <c r="I10" s="10" t="n">
        <f aca="false">B10*H10</f>
        <v>0</v>
      </c>
      <c r="J10" s="11"/>
      <c r="K10" s="12"/>
    </row>
    <row r="11" customFormat="false" ht="26.85" hidden="false" customHeight="false" outlineLevel="0" collapsed="false">
      <c r="A11" s="6" t="n">
        <v>5</v>
      </c>
      <c r="B11" s="7" t="n">
        <v>1</v>
      </c>
      <c r="C11" s="8" t="s">
        <v>32</v>
      </c>
      <c r="D11" s="8" t="s">
        <v>33</v>
      </c>
      <c r="E11" s="8" t="s">
        <v>23</v>
      </c>
      <c r="F11" s="6" t="s">
        <v>27</v>
      </c>
      <c r="G11" s="8" t="s">
        <v>34</v>
      </c>
      <c r="H11" s="9"/>
      <c r="I11" s="10" t="n">
        <f aca="false">B11*H11</f>
        <v>0</v>
      </c>
      <c r="J11" s="11"/>
      <c r="K11" s="12"/>
    </row>
    <row r="12" customFormat="false" ht="15" hidden="false" customHeight="false" outlineLevel="0" collapsed="false">
      <c r="A12" s="6" t="n">
        <v>6</v>
      </c>
      <c r="B12" s="7" t="n">
        <v>1</v>
      </c>
      <c r="C12" s="8" t="s">
        <v>35</v>
      </c>
      <c r="D12" s="8" t="s">
        <v>36</v>
      </c>
      <c r="E12" s="8" t="s">
        <v>23</v>
      </c>
      <c r="F12" s="6" t="s">
        <v>23</v>
      </c>
      <c r="G12" s="8" t="s">
        <v>37</v>
      </c>
      <c r="H12" s="9"/>
      <c r="I12" s="10" t="n">
        <f aca="false">B12*H12</f>
        <v>0</v>
      </c>
      <c r="J12" s="11"/>
      <c r="K12" s="12"/>
    </row>
    <row r="13" customFormat="false" ht="15" hidden="false" customHeight="false" outlineLevel="0" collapsed="false">
      <c r="G13" s="13" t="s">
        <v>38</v>
      </c>
      <c r="I13" s="14" t="n">
        <f aca="false">SUM(I7:I12)</f>
        <v>0</v>
      </c>
    </row>
    <row r="14" customFormat="false" ht="15" hidden="false" customHeight="false" outlineLevel="0" collapsed="false">
      <c r="A14" s="5" t="s">
        <v>39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Format="false" ht="15" hidden="false" customHeight="false" outlineLevel="0" collapsed="false">
      <c r="A15" s="6" t="n">
        <v>7</v>
      </c>
      <c r="B15" s="7" t="n">
        <v>1</v>
      </c>
      <c r="C15" s="8" t="s">
        <v>40</v>
      </c>
      <c r="D15" s="8" t="s">
        <v>41</v>
      </c>
      <c r="E15" s="8" t="s">
        <v>23</v>
      </c>
      <c r="F15" s="6" t="s">
        <v>42</v>
      </c>
      <c r="G15" s="8" t="s">
        <v>43</v>
      </c>
      <c r="H15" s="9"/>
      <c r="I15" s="10" t="n">
        <f aca="false">B15*H15</f>
        <v>0</v>
      </c>
      <c r="J15" s="11"/>
      <c r="K15" s="12"/>
    </row>
    <row r="16" customFormat="false" ht="39.55" hidden="false" customHeight="false" outlineLevel="0" collapsed="false">
      <c r="A16" s="6" t="n">
        <v>8</v>
      </c>
      <c r="B16" s="7" t="n">
        <v>1</v>
      </c>
      <c r="C16" s="8" t="s">
        <v>32</v>
      </c>
      <c r="D16" s="8" t="s">
        <v>44</v>
      </c>
      <c r="E16" s="8" t="s">
        <v>23</v>
      </c>
      <c r="F16" s="6" t="s">
        <v>42</v>
      </c>
      <c r="G16" s="8" t="s">
        <v>45</v>
      </c>
      <c r="H16" s="9"/>
      <c r="I16" s="10" t="n">
        <f aca="false">B16*H16</f>
        <v>0</v>
      </c>
      <c r="J16" s="11"/>
      <c r="K16" s="12"/>
    </row>
    <row r="17" customFormat="false" ht="26.85" hidden="false" customHeight="false" outlineLevel="0" collapsed="false">
      <c r="A17" s="6" t="n">
        <v>9</v>
      </c>
      <c r="B17" s="7" t="n">
        <v>1</v>
      </c>
      <c r="C17" s="8" t="s">
        <v>32</v>
      </c>
      <c r="D17" s="8" t="s">
        <v>46</v>
      </c>
      <c r="E17" s="8" t="s">
        <v>23</v>
      </c>
      <c r="F17" s="6" t="s">
        <v>47</v>
      </c>
      <c r="G17" s="8" t="s">
        <v>48</v>
      </c>
      <c r="H17" s="9"/>
      <c r="I17" s="10" t="n">
        <f aca="false">B17*H17</f>
        <v>0</v>
      </c>
      <c r="J17" s="11"/>
      <c r="K17" s="12"/>
    </row>
    <row r="18" customFormat="false" ht="15" hidden="false" customHeight="false" outlineLevel="0" collapsed="false">
      <c r="A18" s="6" t="n">
        <v>10</v>
      </c>
      <c r="B18" s="7" t="n">
        <v>1</v>
      </c>
      <c r="C18" s="8" t="s">
        <v>49</v>
      </c>
      <c r="D18" s="8" t="s">
        <v>50</v>
      </c>
      <c r="E18" s="8" t="s">
        <v>23</v>
      </c>
      <c r="F18" s="6" t="s">
        <v>42</v>
      </c>
      <c r="G18" s="8" t="s">
        <v>51</v>
      </c>
      <c r="H18" s="9"/>
      <c r="I18" s="10" t="n">
        <f aca="false">B18*H18</f>
        <v>0</v>
      </c>
      <c r="J18" s="11"/>
      <c r="K18" s="12"/>
    </row>
    <row r="19" customFormat="false" ht="15" hidden="false" customHeight="false" outlineLevel="0" collapsed="false">
      <c r="G19" s="13" t="s">
        <v>52</v>
      </c>
      <c r="I19" s="14" t="n">
        <f aca="false">SUM(I15:I18)</f>
        <v>0</v>
      </c>
    </row>
    <row r="20" customFormat="false" ht="15" hidden="false" customHeight="false" outlineLevel="0" collapsed="false">
      <c r="A20" s="5" t="s">
        <v>53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customFormat="false" ht="15" hidden="false" customHeight="false" outlineLevel="0" collapsed="false">
      <c r="A21" s="6" t="n">
        <v>11</v>
      </c>
      <c r="B21" s="7" t="n">
        <v>1</v>
      </c>
      <c r="C21" s="8" t="s">
        <v>54</v>
      </c>
      <c r="D21" s="8" t="s">
        <v>55</v>
      </c>
      <c r="E21" s="8" t="s">
        <v>56</v>
      </c>
      <c r="F21" s="6" t="s">
        <v>57</v>
      </c>
      <c r="G21" s="8" t="s">
        <v>58</v>
      </c>
      <c r="H21" s="9"/>
      <c r="I21" s="10" t="n">
        <f aca="false">B21*H21</f>
        <v>0</v>
      </c>
      <c r="J21" s="11"/>
      <c r="K21" s="12"/>
    </row>
    <row r="22" customFormat="false" ht="15" hidden="false" customHeight="false" outlineLevel="0" collapsed="false">
      <c r="A22" s="6" t="n">
        <v>12</v>
      </c>
      <c r="B22" s="7" t="n">
        <v>2</v>
      </c>
      <c r="C22" s="8" t="s">
        <v>59</v>
      </c>
      <c r="D22" s="8" t="s">
        <v>60</v>
      </c>
      <c r="E22" s="8" t="s">
        <v>60</v>
      </c>
      <c r="F22" s="6" t="s">
        <v>61</v>
      </c>
      <c r="G22" s="8" t="s">
        <v>62</v>
      </c>
      <c r="H22" s="9"/>
      <c r="I22" s="10" t="n">
        <f aca="false">B22*H22</f>
        <v>0</v>
      </c>
      <c r="J22" s="11"/>
      <c r="K22" s="12"/>
    </row>
    <row r="23" customFormat="false" ht="15" hidden="false" customHeight="false" outlineLevel="0" collapsed="false">
      <c r="A23" s="6" t="n">
        <v>13</v>
      </c>
      <c r="B23" s="7" t="n">
        <v>1</v>
      </c>
      <c r="C23" s="8" t="s">
        <v>63</v>
      </c>
      <c r="D23" s="8" t="s">
        <v>64</v>
      </c>
      <c r="E23" s="8" t="s">
        <v>23</v>
      </c>
      <c r="F23" s="6" t="s">
        <v>65</v>
      </c>
      <c r="G23" s="8" t="s">
        <v>66</v>
      </c>
      <c r="H23" s="9"/>
      <c r="I23" s="10" t="n">
        <f aca="false">B23*H23</f>
        <v>0</v>
      </c>
      <c r="J23" s="11"/>
      <c r="K23" s="12"/>
    </row>
    <row r="24" customFormat="false" ht="26.85" hidden="false" customHeight="false" outlineLevel="0" collapsed="false">
      <c r="A24" s="6" t="n">
        <v>14</v>
      </c>
      <c r="B24" s="7" t="n">
        <v>4</v>
      </c>
      <c r="C24" s="8" t="s">
        <v>67</v>
      </c>
      <c r="D24" s="8" t="s">
        <v>64</v>
      </c>
      <c r="E24" s="8" t="s">
        <v>23</v>
      </c>
      <c r="F24" s="6" t="s">
        <v>68</v>
      </c>
      <c r="G24" s="8" t="s">
        <v>69</v>
      </c>
      <c r="H24" s="9"/>
      <c r="I24" s="10" t="n">
        <f aca="false">B24*H24</f>
        <v>0</v>
      </c>
      <c r="J24" s="11"/>
      <c r="K24" s="12"/>
    </row>
    <row r="25" customFormat="false" ht="15" hidden="false" customHeight="false" outlineLevel="0" collapsed="false">
      <c r="A25" s="6" t="n">
        <v>15</v>
      </c>
      <c r="B25" s="7" t="n">
        <v>1</v>
      </c>
      <c r="C25" s="8" t="s">
        <v>70</v>
      </c>
      <c r="D25" s="8" t="s">
        <v>71</v>
      </c>
      <c r="E25" s="8" t="s">
        <v>23</v>
      </c>
      <c r="F25" s="6" t="s">
        <v>72</v>
      </c>
      <c r="G25" s="8" t="s">
        <v>73</v>
      </c>
      <c r="H25" s="9"/>
      <c r="I25" s="10" t="n">
        <f aca="false">B25*H25</f>
        <v>0</v>
      </c>
      <c r="J25" s="11"/>
      <c r="K25" s="12"/>
    </row>
    <row r="26" customFormat="false" ht="15" hidden="false" customHeight="false" outlineLevel="0" collapsed="false">
      <c r="A26" s="6" t="n">
        <v>16</v>
      </c>
      <c r="B26" s="7" t="n">
        <v>2</v>
      </c>
      <c r="C26" s="8" t="s">
        <v>74</v>
      </c>
      <c r="D26" s="8" t="s">
        <v>71</v>
      </c>
      <c r="E26" s="8" t="s">
        <v>23</v>
      </c>
      <c r="F26" s="6" t="s">
        <v>61</v>
      </c>
      <c r="G26" s="8" t="s">
        <v>75</v>
      </c>
      <c r="H26" s="9"/>
      <c r="I26" s="10" t="n">
        <f aca="false">B26*H26</f>
        <v>0</v>
      </c>
      <c r="J26" s="11"/>
      <c r="K26" s="12"/>
    </row>
    <row r="27" customFormat="false" ht="15" hidden="false" customHeight="false" outlineLevel="0" collapsed="false">
      <c r="A27" s="6" t="n">
        <v>17</v>
      </c>
      <c r="B27" s="7" t="n">
        <v>3</v>
      </c>
      <c r="C27" s="8" t="s">
        <v>76</v>
      </c>
      <c r="D27" s="8" t="s">
        <v>64</v>
      </c>
      <c r="E27" s="8" t="s">
        <v>23</v>
      </c>
      <c r="F27" s="6" t="s">
        <v>61</v>
      </c>
      <c r="G27" s="8" t="s">
        <v>77</v>
      </c>
      <c r="H27" s="9"/>
      <c r="I27" s="10" t="n">
        <f aca="false">B27*H27</f>
        <v>0</v>
      </c>
      <c r="J27" s="11"/>
      <c r="K27" s="12"/>
    </row>
    <row r="28" customFormat="false" ht="26.85" hidden="false" customHeight="false" outlineLevel="0" collapsed="false">
      <c r="A28" s="6" t="n">
        <v>18</v>
      </c>
      <c r="B28" s="7" t="n">
        <v>8</v>
      </c>
      <c r="C28" s="8" t="s">
        <v>78</v>
      </c>
      <c r="D28" s="8" t="s">
        <v>79</v>
      </c>
      <c r="E28" s="8" t="s">
        <v>80</v>
      </c>
      <c r="F28" s="6" t="s">
        <v>81</v>
      </c>
      <c r="G28" s="8" t="s">
        <v>82</v>
      </c>
      <c r="H28" s="9"/>
      <c r="I28" s="10" t="n">
        <f aca="false">B28*H28</f>
        <v>0</v>
      </c>
      <c r="J28" s="11"/>
      <c r="K28" s="12"/>
    </row>
    <row r="29" customFormat="false" ht="15" hidden="false" customHeight="false" outlineLevel="0" collapsed="false">
      <c r="A29" s="6" t="n">
        <v>19</v>
      </c>
      <c r="B29" s="7" t="n">
        <v>2</v>
      </c>
      <c r="C29" s="8" t="s">
        <v>83</v>
      </c>
      <c r="D29" s="8" t="s">
        <v>84</v>
      </c>
      <c r="E29" s="8" t="s">
        <v>84</v>
      </c>
      <c r="F29" s="6" t="s">
        <v>61</v>
      </c>
      <c r="G29" s="8" t="s">
        <v>85</v>
      </c>
      <c r="H29" s="9"/>
      <c r="I29" s="10" t="n">
        <f aca="false">B29*H29</f>
        <v>0</v>
      </c>
      <c r="J29" s="11"/>
      <c r="K29" s="12"/>
    </row>
    <row r="30" customFormat="false" ht="15" hidden="false" customHeight="false" outlineLevel="0" collapsed="false">
      <c r="A30" s="6" t="n">
        <v>20</v>
      </c>
      <c r="B30" s="7" t="n">
        <v>4</v>
      </c>
      <c r="C30" s="8" t="s">
        <v>86</v>
      </c>
      <c r="D30" s="8" t="s">
        <v>87</v>
      </c>
      <c r="E30" s="8" t="s">
        <v>23</v>
      </c>
      <c r="F30" s="6" t="s">
        <v>81</v>
      </c>
      <c r="G30" s="8" t="s">
        <v>88</v>
      </c>
      <c r="H30" s="9"/>
      <c r="I30" s="10" t="n">
        <f aca="false">B30*H30</f>
        <v>0</v>
      </c>
      <c r="J30" s="11"/>
      <c r="K30" s="12"/>
    </row>
    <row r="31" customFormat="false" ht="26.85" hidden="false" customHeight="false" outlineLevel="0" collapsed="false">
      <c r="A31" s="6" t="n">
        <v>21</v>
      </c>
      <c r="B31" s="7" t="n">
        <v>2</v>
      </c>
      <c r="C31" s="8" t="s">
        <v>89</v>
      </c>
      <c r="D31" s="8" t="s">
        <v>90</v>
      </c>
      <c r="E31" s="8" t="s">
        <v>23</v>
      </c>
      <c r="F31" s="6" t="s">
        <v>91</v>
      </c>
      <c r="G31" s="8" t="s">
        <v>92</v>
      </c>
      <c r="H31" s="9"/>
      <c r="I31" s="10" t="n">
        <f aca="false">B31*H31</f>
        <v>0</v>
      </c>
      <c r="J31" s="11"/>
      <c r="K31" s="12"/>
    </row>
    <row r="32" customFormat="false" ht="15" hidden="false" customHeight="false" outlineLevel="0" collapsed="false">
      <c r="G32" s="13" t="s">
        <v>93</v>
      </c>
      <c r="I32" s="14" t="n">
        <f aca="false">SUM(I21:I31)</f>
        <v>0</v>
      </c>
    </row>
    <row r="33" customFormat="false" ht="15" hidden="false" customHeight="false" outlineLevel="0" collapsed="false">
      <c r="A33" s="5" t="s">
        <v>94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39.55" hidden="false" customHeight="false" outlineLevel="0" collapsed="false">
      <c r="A34" s="6" t="n">
        <v>22</v>
      </c>
      <c r="B34" s="7" t="n">
        <v>0</v>
      </c>
      <c r="C34" s="8" t="s">
        <v>95</v>
      </c>
      <c r="D34" s="8" t="s">
        <v>96</v>
      </c>
      <c r="E34" s="8" t="s">
        <v>97</v>
      </c>
      <c r="F34" s="6" t="s">
        <v>61</v>
      </c>
      <c r="G34" s="8" t="s">
        <v>98</v>
      </c>
      <c r="H34" s="9"/>
      <c r="I34" s="10" t="n">
        <f aca="false">B34*H34</f>
        <v>0</v>
      </c>
      <c r="J34" s="11"/>
      <c r="K34" s="12"/>
    </row>
    <row r="35" customFormat="false" ht="26.85" hidden="false" customHeight="false" outlineLevel="0" collapsed="false">
      <c r="A35" s="6" t="n">
        <v>23</v>
      </c>
      <c r="B35" s="7" t="n">
        <v>0</v>
      </c>
      <c r="C35" s="8" t="s">
        <v>99</v>
      </c>
      <c r="D35" s="8" t="s">
        <v>100</v>
      </c>
      <c r="E35" s="8" t="s">
        <v>23</v>
      </c>
      <c r="F35" s="6" t="s">
        <v>61</v>
      </c>
      <c r="G35" s="8" t="s">
        <v>101</v>
      </c>
      <c r="H35" s="9"/>
      <c r="I35" s="10" t="n">
        <f aca="false">B35*H35</f>
        <v>0</v>
      </c>
      <c r="J35" s="11"/>
      <c r="K35" s="12"/>
    </row>
    <row r="36" customFormat="false" ht="26.85" hidden="false" customHeight="false" outlineLevel="0" collapsed="false">
      <c r="A36" s="6" t="n">
        <v>24</v>
      </c>
      <c r="B36" s="7" t="n">
        <v>0</v>
      </c>
      <c r="C36" s="8" t="s">
        <v>102</v>
      </c>
      <c r="D36" s="8" t="s">
        <v>103</v>
      </c>
      <c r="E36" s="8" t="s">
        <v>23</v>
      </c>
      <c r="F36" s="6" t="s">
        <v>61</v>
      </c>
      <c r="G36" s="8" t="s">
        <v>104</v>
      </c>
      <c r="H36" s="9"/>
      <c r="I36" s="10" t="n">
        <f aca="false">B36*H36</f>
        <v>0</v>
      </c>
      <c r="J36" s="11"/>
      <c r="K36" s="12"/>
    </row>
    <row r="37" customFormat="false" ht="26.85" hidden="false" customHeight="false" outlineLevel="0" collapsed="false">
      <c r="A37" s="6" t="n">
        <v>25</v>
      </c>
      <c r="B37" s="7" t="n">
        <v>2</v>
      </c>
      <c r="C37" s="8" t="s">
        <v>105</v>
      </c>
      <c r="D37" s="8" t="s">
        <v>106</v>
      </c>
      <c r="E37" s="8" t="s">
        <v>23</v>
      </c>
      <c r="F37" s="6" t="s">
        <v>61</v>
      </c>
      <c r="G37" s="8" t="s">
        <v>107</v>
      </c>
      <c r="H37" s="9"/>
      <c r="I37" s="10" t="n">
        <f aca="false">B37*H37</f>
        <v>0</v>
      </c>
      <c r="J37" s="11"/>
      <c r="K37" s="12"/>
    </row>
    <row r="38" customFormat="false" ht="15" hidden="false" customHeight="false" outlineLevel="0" collapsed="false">
      <c r="G38" s="13" t="s">
        <v>108</v>
      </c>
      <c r="I38" s="14" t="n">
        <f aca="false">SUM(I34:I37)</f>
        <v>0</v>
      </c>
    </row>
    <row r="39" customFormat="false" ht="15" hidden="false" customHeight="false" outlineLevel="0" collapsed="false">
      <c r="A39" s="5" t="s">
        <v>109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customFormat="false" ht="15" hidden="false" customHeight="false" outlineLevel="0" collapsed="false">
      <c r="A40" s="6" t="n">
        <v>26</v>
      </c>
      <c r="B40" s="7" t="n">
        <v>1</v>
      </c>
      <c r="C40" s="8" t="s">
        <v>110</v>
      </c>
      <c r="D40" s="8" t="s">
        <v>111</v>
      </c>
      <c r="E40" s="8" t="s">
        <v>23</v>
      </c>
      <c r="F40" s="6" t="s">
        <v>112</v>
      </c>
      <c r="G40" s="8" t="s">
        <v>113</v>
      </c>
      <c r="H40" s="9"/>
      <c r="I40" s="10" t="n">
        <f aca="false">B40*H40</f>
        <v>0</v>
      </c>
      <c r="J40" s="11"/>
      <c r="K40" s="12"/>
    </row>
    <row r="41" customFormat="false" ht="15" hidden="false" customHeight="false" outlineLevel="0" collapsed="false">
      <c r="A41" s="6" t="n">
        <v>27</v>
      </c>
      <c r="B41" s="7" t="n">
        <v>1</v>
      </c>
      <c r="C41" s="8" t="s">
        <v>114</v>
      </c>
      <c r="D41" s="8" t="s">
        <v>115</v>
      </c>
      <c r="E41" s="8" t="s">
        <v>116</v>
      </c>
      <c r="F41" s="6" t="s">
        <v>112</v>
      </c>
      <c r="G41" s="8" t="s">
        <v>117</v>
      </c>
      <c r="H41" s="9"/>
      <c r="I41" s="10" t="n">
        <f aca="false">B41*H41</f>
        <v>0</v>
      </c>
      <c r="J41" s="11"/>
      <c r="K41" s="12"/>
    </row>
    <row r="42" customFormat="false" ht="15" hidden="false" customHeight="false" outlineLevel="0" collapsed="false">
      <c r="A42" s="6" t="n">
        <v>28</v>
      </c>
      <c r="B42" s="7" t="n">
        <v>1</v>
      </c>
      <c r="C42" s="8" t="s">
        <v>118</v>
      </c>
      <c r="D42" s="8" t="s">
        <v>71</v>
      </c>
      <c r="E42" s="8" t="s">
        <v>23</v>
      </c>
      <c r="F42" s="6" t="s">
        <v>112</v>
      </c>
      <c r="G42" s="8" t="s">
        <v>119</v>
      </c>
      <c r="H42" s="9"/>
      <c r="I42" s="10" t="n">
        <f aca="false">B42*H42</f>
        <v>0</v>
      </c>
      <c r="J42" s="11"/>
      <c r="K42" s="12"/>
    </row>
    <row r="43" customFormat="false" ht="15" hidden="false" customHeight="false" outlineLevel="0" collapsed="false">
      <c r="A43" s="6" t="n">
        <v>29</v>
      </c>
      <c r="B43" s="7" t="n">
        <v>1</v>
      </c>
      <c r="C43" s="8" t="s">
        <v>32</v>
      </c>
      <c r="D43" s="8" t="s">
        <v>120</v>
      </c>
      <c r="E43" s="8" t="s">
        <v>23</v>
      </c>
      <c r="F43" s="6" t="s">
        <v>112</v>
      </c>
      <c r="G43" s="8" t="s">
        <v>121</v>
      </c>
      <c r="H43" s="9"/>
      <c r="I43" s="10" t="n">
        <f aca="false">B43*H43</f>
        <v>0</v>
      </c>
      <c r="J43" s="11"/>
      <c r="K43" s="12"/>
    </row>
    <row r="44" customFormat="false" ht="15" hidden="false" customHeight="false" outlineLevel="0" collapsed="false">
      <c r="A44" s="6" t="n">
        <v>30</v>
      </c>
      <c r="B44" s="7" t="n">
        <v>1</v>
      </c>
      <c r="C44" s="8" t="s">
        <v>122</v>
      </c>
      <c r="D44" s="8" t="s">
        <v>123</v>
      </c>
      <c r="E44" s="8" t="s">
        <v>23</v>
      </c>
      <c r="F44" s="6" t="s">
        <v>112</v>
      </c>
      <c r="G44" s="8" t="s">
        <v>124</v>
      </c>
      <c r="H44" s="9"/>
      <c r="I44" s="10" t="n">
        <f aca="false">B44*H44</f>
        <v>0</v>
      </c>
      <c r="J44" s="11"/>
      <c r="K44" s="12"/>
    </row>
    <row r="45" customFormat="false" ht="15" hidden="false" customHeight="false" outlineLevel="0" collapsed="false">
      <c r="A45" s="6" t="n">
        <v>31</v>
      </c>
      <c r="B45" s="7" t="n">
        <v>1</v>
      </c>
      <c r="C45" s="8" t="s">
        <v>125</v>
      </c>
      <c r="D45" s="8" t="s">
        <v>126</v>
      </c>
      <c r="E45" s="8" t="s">
        <v>127</v>
      </c>
      <c r="F45" s="6" t="s">
        <v>112</v>
      </c>
      <c r="G45" s="8" t="s">
        <v>128</v>
      </c>
      <c r="H45" s="9"/>
      <c r="I45" s="10" t="n">
        <f aca="false">B45*H45</f>
        <v>0</v>
      </c>
      <c r="J45" s="11"/>
      <c r="K45" s="12"/>
    </row>
    <row r="46" customFormat="false" ht="15" hidden="false" customHeight="false" outlineLevel="0" collapsed="false">
      <c r="A46" s="6" t="n">
        <v>32</v>
      </c>
      <c r="B46" s="7" t="n">
        <v>1</v>
      </c>
      <c r="C46" s="8" t="s">
        <v>129</v>
      </c>
      <c r="D46" s="8" t="s">
        <v>130</v>
      </c>
      <c r="E46" s="8" t="s">
        <v>23</v>
      </c>
      <c r="F46" s="6" t="s">
        <v>112</v>
      </c>
      <c r="G46" s="8" t="s">
        <v>131</v>
      </c>
      <c r="H46" s="9"/>
      <c r="I46" s="10" t="n">
        <f aca="false">B46*H46</f>
        <v>0</v>
      </c>
      <c r="J46" s="11"/>
      <c r="K46" s="12"/>
    </row>
    <row r="47" customFormat="false" ht="15" hidden="false" customHeight="false" outlineLevel="0" collapsed="false">
      <c r="A47" s="6" t="n">
        <v>33</v>
      </c>
      <c r="B47" s="7" t="n">
        <v>1</v>
      </c>
      <c r="C47" s="8" t="s">
        <v>132</v>
      </c>
      <c r="D47" s="8" t="s">
        <v>133</v>
      </c>
      <c r="E47" s="8" t="s">
        <v>133</v>
      </c>
      <c r="F47" s="6" t="s">
        <v>112</v>
      </c>
      <c r="G47" s="8" t="s">
        <v>134</v>
      </c>
      <c r="H47" s="9"/>
      <c r="I47" s="10" t="n">
        <f aca="false">B47*H47</f>
        <v>0</v>
      </c>
      <c r="J47" s="11"/>
      <c r="K47" s="12"/>
    </row>
    <row r="48" customFormat="false" ht="15" hidden="false" customHeight="false" outlineLevel="0" collapsed="false">
      <c r="G48" s="13" t="s">
        <v>135</v>
      </c>
      <c r="I48" s="14" t="n">
        <f aca="false">SUM(I40:I47)</f>
        <v>0</v>
      </c>
    </row>
    <row r="49" customFormat="false" ht="15" hidden="false" customHeight="false" outlineLevel="0" collapsed="false">
      <c r="A49" s="5" t="s">
        <v>136</v>
      </c>
      <c r="B49" s="5"/>
      <c r="C49" s="5"/>
      <c r="D49" s="5"/>
      <c r="E49" s="5"/>
      <c r="F49" s="5"/>
      <c r="G49" s="5"/>
      <c r="H49" s="5"/>
      <c r="I49" s="5"/>
      <c r="J49" s="5"/>
      <c r="K49" s="5"/>
    </row>
    <row r="50" customFormat="false" ht="26.85" hidden="false" customHeight="false" outlineLevel="0" collapsed="false">
      <c r="A50" s="6" t="n">
        <v>34</v>
      </c>
      <c r="B50" s="7" t="n">
        <v>1</v>
      </c>
      <c r="C50" s="8" t="s">
        <v>137</v>
      </c>
      <c r="D50" s="8" t="s">
        <v>138</v>
      </c>
      <c r="E50" s="8" t="s">
        <v>139</v>
      </c>
      <c r="F50" s="6" t="s">
        <v>47</v>
      </c>
      <c r="G50" s="8" t="s">
        <v>140</v>
      </c>
      <c r="H50" s="9"/>
      <c r="I50" s="10" t="n">
        <f aca="false">B50*H50</f>
        <v>0</v>
      </c>
      <c r="J50" s="11"/>
      <c r="K50" s="12"/>
    </row>
    <row r="51" customFormat="false" ht="39.55" hidden="false" customHeight="false" outlineLevel="0" collapsed="false">
      <c r="A51" s="6" t="n">
        <v>35</v>
      </c>
      <c r="B51" s="7" t="n">
        <v>1</v>
      </c>
      <c r="C51" s="8" t="s">
        <v>141</v>
      </c>
      <c r="D51" s="8" t="s">
        <v>142</v>
      </c>
      <c r="E51" s="8" t="s">
        <v>23</v>
      </c>
      <c r="F51" s="6" t="s">
        <v>47</v>
      </c>
      <c r="G51" s="8" t="s">
        <v>143</v>
      </c>
      <c r="H51" s="9"/>
      <c r="I51" s="10" t="n">
        <f aca="false">B51*H51</f>
        <v>0</v>
      </c>
      <c r="J51" s="11"/>
      <c r="K51" s="12"/>
    </row>
    <row r="52" customFormat="false" ht="26.85" hidden="false" customHeight="false" outlineLevel="0" collapsed="false">
      <c r="A52" s="6" t="n">
        <v>36</v>
      </c>
      <c r="B52" s="7" t="n">
        <v>1</v>
      </c>
      <c r="C52" s="8" t="s">
        <v>144</v>
      </c>
      <c r="D52" s="8" t="s">
        <v>145</v>
      </c>
      <c r="E52" s="8" t="s">
        <v>146</v>
      </c>
      <c r="F52" s="6" t="s">
        <v>47</v>
      </c>
      <c r="G52" s="8" t="s">
        <v>147</v>
      </c>
      <c r="H52" s="9"/>
      <c r="I52" s="10" t="n">
        <f aca="false">B52*H52</f>
        <v>0</v>
      </c>
      <c r="J52" s="11"/>
      <c r="K52" s="12"/>
    </row>
    <row r="53" customFormat="false" ht="26.85" hidden="false" customHeight="false" outlineLevel="0" collapsed="false">
      <c r="A53" s="6" t="n">
        <v>37</v>
      </c>
      <c r="B53" s="7" t="n">
        <v>1</v>
      </c>
      <c r="C53" s="8" t="s">
        <v>148</v>
      </c>
      <c r="D53" s="8" t="s">
        <v>149</v>
      </c>
      <c r="E53" s="8" t="s">
        <v>23</v>
      </c>
      <c r="F53" s="6" t="s">
        <v>47</v>
      </c>
      <c r="G53" s="8" t="s">
        <v>150</v>
      </c>
      <c r="H53" s="9"/>
      <c r="I53" s="10" t="n">
        <f aca="false">B53*H53</f>
        <v>0</v>
      </c>
      <c r="J53" s="11"/>
      <c r="K53" s="12"/>
    </row>
    <row r="54" customFormat="false" ht="26.85" hidden="false" customHeight="false" outlineLevel="0" collapsed="false">
      <c r="A54" s="6" t="n">
        <v>38</v>
      </c>
      <c r="B54" s="7" t="n">
        <v>1</v>
      </c>
      <c r="C54" s="8" t="s">
        <v>151</v>
      </c>
      <c r="D54" s="8" t="s">
        <v>152</v>
      </c>
      <c r="E54" s="8" t="s">
        <v>23</v>
      </c>
      <c r="F54" s="6" t="s">
        <v>47</v>
      </c>
      <c r="G54" s="8" t="s">
        <v>153</v>
      </c>
      <c r="H54" s="9"/>
      <c r="I54" s="10" t="n">
        <f aca="false">B54*H54</f>
        <v>0</v>
      </c>
      <c r="J54" s="11"/>
      <c r="K54" s="12"/>
    </row>
    <row r="55" customFormat="false" ht="26.85" hidden="false" customHeight="false" outlineLevel="0" collapsed="false">
      <c r="A55" s="6" t="n">
        <v>39</v>
      </c>
      <c r="B55" s="7" t="n">
        <v>2</v>
      </c>
      <c r="C55" s="8" t="s">
        <v>154</v>
      </c>
      <c r="D55" s="8" t="s">
        <v>155</v>
      </c>
      <c r="E55" s="8" t="s">
        <v>23</v>
      </c>
      <c r="F55" s="6" t="s">
        <v>47</v>
      </c>
      <c r="G55" s="8" t="s">
        <v>156</v>
      </c>
      <c r="H55" s="9"/>
      <c r="I55" s="10" t="n">
        <f aca="false">B55*H55</f>
        <v>0</v>
      </c>
      <c r="J55" s="11"/>
      <c r="K55" s="12"/>
    </row>
    <row r="56" customFormat="false" ht="15" hidden="false" customHeight="false" outlineLevel="0" collapsed="false">
      <c r="G56" s="13" t="s">
        <v>157</v>
      </c>
      <c r="I56" s="14" t="n">
        <f aca="false">SUM(I50:I55)</f>
        <v>0</v>
      </c>
    </row>
    <row r="57" customFormat="false" ht="15" hidden="false" customHeight="false" outlineLevel="0" collapsed="false">
      <c r="A57" s="5" t="s">
        <v>158</v>
      </c>
      <c r="B57" s="5"/>
      <c r="C57" s="5"/>
      <c r="D57" s="5"/>
      <c r="E57" s="5"/>
      <c r="F57" s="5"/>
      <c r="G57" s="5"/>
      <c r="H57" s="5"/>
      <c r="I57" s="5"/>
      <c r="J57" s="5"/>
      <c r="K57" s="5"/>
    </row>
    <row r="58" customFormat="false" ht="26.85" hidden="false" customHeight="false" outlineLevel="0" collapsed="false">
      <c r="A58" s="6" t="n">
        <v>40</v>
      </c>
      <c r="B58" s="7" t="n">
        <v>1</v>
      </c>
      <c r="C58" s="8" t="s">
        <v>159</v>
      </c>
      <c r="D58" s="8" t="s">
        <v>160</v>
      </c>
      <c r="E58" s="8" t="s">
        <v>23</v>
      </c>
      <c r="F58" s="6" t="s">
        <v>161</v>
      </c>
      <c r="G58" s="8" t="s">
        <v>162</v>
      </c>
      <c r="H58" s="9"/>
      <c r="I58" s="10" t="n">
        <f aca="false">B58*H58</f>
        <v>0</v>
      </c>
      <c r="J58" s="11"/>
      <c r="K58" s="12"/>
    </row>
    <row r="59" customFormat="false" ht="26.85" hidden="false" customHeight="false" outlineLevel="0" collapsed="false">
      <c r="A59" s="6" t="n">
        <v>41</v>
      </c>
      <c r="B59" s="7" t="n">
        <v>1</v>
      </c>
      <c r="C59" s="8" t="s">
        <v>163</v>
      </c>
      <c r="D59" s="8" t="s">
        <v>164</v>
      </c>
      <c r="E59" s="8" t="s">
        <v>23</v>
      </c>
      <c r="F59" s="6" t="s">
        <v>161</v>
      </c>
      <c r="G59" s="8" t="s">
        <v>165</v>
      </c>
      <c r="H59" s="9"/>
      <c r="I59" s="10" t="n">
        <f aca="false">B59*H59</f>
        <v>0</v>
      </c>
      <c r="J59" s="11"/>
      <c r="K59" s="12"/>
    </row>
    <row r="60" customFormat="false" ht="26.85" hidden="false" customHeight="false" outlineLevel="0" collapsed="false">
      <c r="A60" s="6" t="n">
        <v>42</v>
      </c>
      <c r="B60" s="7" t="n">
        <v>1</v>
      </c>
      <c r="C60" s="8" t="s">
        <v>32</v>
      </c>
      <c r="D60" s="8" t="s">
        <v>166</v>
      </c>
      <c r="E60" s="8" t="s">
        <v>23</v>
      </c>
      <c r="F60" s="6" t="s">
        <v>161</v>
      </c>
      <c r="G60" s="8" t="s">
        <v>167</v>
      </c>
      <c r="H60" s="9"/>
      <c r="I60" s="10" t="n">
        <f aca="false">B60*H60</f>
        <v>0</v>
      </c>
      <c r="J60" s="11"/>
      <c r="K60" s="12"/>
    </row>
    <row r="61" customFormat="false" ht="26.85" hidden="false" customHeight="false" outlineLevel="0" collapsed="false">
      <c r="A61" s="6" t="n">
        <v>43</v>
      </c>
      <c r="B61" s="7" t="n">
        <v>1</v>
      </c>
      <c r="C61" s="8" t="s">
        <v>32</v>
      </c>
      <c r="D61" s="8" t="s">
        <v>168</v>
      </c>
      <c r="E61" s="8" t="s">
        <v>23</v>
      </c>
      <c r="F61" s="6" t="s">
        <v>161</v>
      </c>
      <c r="G61" s="8" t="s">
        <v>169</v>
      </c>
      <c r="H61" s="9"/>
      <c r="I61" s="10" t="n">
        <f aca="false">B61*H61</f>
        <v>0</v>
      </c>
      <c r="J61" s="11"/>
      <c r="K61" s="12"/>
    </row>
    <row r="62" customFormat="false" ht="26.85" hidden="false" customHeight="false" outlineLevel="0" collapsed="false">
      <c r="A62" s="6" t="n">
        <v>44</v>
      </c>
      <c r="B62" s="7" t="n">
        <v>2</v>
      </c>
      <c r="C62" s="8" t="s">
        <v>32</v>
      </c>
      <c r="D62" s="8" t="s">
        <v>170</v>
      </c>
      <c r="E62" s="8" t="s">
        <v>23</v>
      </c>
      <c r="F62" s="6" t="s">
        <v>161</v>
      </c>
      <c r="G62" s="8" t="s">
        <v>171</v>
      </c>
      <c r="H62" s="9"/>
      <c r="I62" s="10" t="n">
        <f aca="false">B62*H62</f>
        <v>0</v>
      </c>
      <c r="J62" s="11"/>
      <c r="K62" s="12"/>
    </row>
    <row r="63" customFormat="false" ht="26.85" hidden="false" customHeight="false" outlineLevel="0" collapsed="false">
      <c r="A63" s="6" t="n">
        <v>45</v>
      </c>
      <c r="B63" s="7" t="n">
        <v>3</v>
      </c>
      <c r="C63" s="8" t="s">
        <v>32</v>
      </c>
      <c r="D63" s="8" t="s">
        <v>172</v>
      </c>
      <c r="E63" s="8" t="s">
        <v>23</v>
      </c>
      <c r="F63" s="6" t="s">
        <v>161</v>
      </c>
      <c r="G63" s="8" t="s">
        <v>173</v>
      </c>
      <c r="H63" s="9"/>
      <c r="I63" s="10" t="n">
        <f aca="false">B63*H63</f>
        <v>0</v>
      </c>
      <c r="J63" s="11"/>
      <c r="K63" s="12"/>
    </row>
    <row r="64" customFormat="false" ht="26.85" hidden="false" customHeight="false" outlineLevel="0" collapsed="false">
      <c r="A64" s="6" t="n">
        <v>46</v>
      </c>
      <c r="B64" s="7" t="n">
        <v>2</v>
      </c>
      <c r="C64" s="8" t="s">
        <v>174</v>
      </c>
      <c r="D64" s="8" t="s">
        <v>175</v>
      </c>
      <c r="E64" s="8" t="s">
        <v>23</v>
      </c>
      <c r="F64" s="6" t="s">
        <v>161</v>
      </c>
      <c r="G64" s="8" t="s">
        <v>176</v>
      </c>
      <c r="H64" s="9"/>
      <c r="I64" s="10" t="n">
        <f aca="false">B64*H64</f>
        <v>0</v>
      </c>
      <c r="J64" s="11"/>
      <c r="K64" s="12"/>
    </row>
    <row r="65" customFormat="false" ht="15" hidden="false" customHeight="false" outlineLevel="0" collapsed="false">
      <c r="G65" s="13" t="s">
        <v>177</v>
      </c>
      <c r="I65" s="14" t="n">
        <f aca="false">SUM(I58:I64)</f>
        <v>0</v>
      </c>
    </row>
    <row r="66" customFormat="false" ht="15" hidden="false" customHeight="false" outlineLevel="0" collapsed="false">
      <c r="A66" s="5" t="s">
        <v>178</v>
      </c>
      <c r="B66" s="5"/>
      <c r="C66" s="5"/>
      <c r="D66" s="5"/>
      <c r="E66" s="5"/>
      <c r="F66" s="5"/>
      <c r="G66" s="5"/>
      <c r="H66" s="5"/>
      <c r="I66" s="5"/>
      <c r="J66" s="5"/>
      <c r="K66" s="5"/>
    </row>
    <row r="67" customFormat="false" ht="52.2" hidden="false" customHeight="false" outlineLevel="0" collapsed="false">
      <c r="A67" s="6" t="n">
        <v>47</v>
      </c>
      <c r="B67" s="7" t="n">
        <v>1</v>
      </c>
      <c r="C67" s="8" t="s">
        <v>179</v>
      </c>
      <c r="D67" s="8" t="s">
        <v>180</v>
      </c>
      <c r="E67" s="8" t="s">
        <v>181</v>
      </c>
      <c r="F67" s="6" t="s">
        <v>182</v>
      </c>
      <c r="G67" s="8" t="s">
        <v>183</v>
      </c>
      <c r="H67" s="9"/>
      <c r="I67" s="10" t="n">
        <f aca="false">B67*H67</f>
        <v>0</v>
      </c>
      <c r="J67" s="11"/>
      <c r="K67" s="12"/>
    </row>
    <row r="68" customFormat="false" ht="52.2" hidden="false" customHeight="false" outlineLevel="0" collapsed="false">
      <c r="A68" s="6" t="n">
        <v>48</v>
      </c>
      <c r="B68" s="7" t="n">
        <v>1</v>
      </c>
      <c r="C68" s="8" t="s">
        <v>184</v>
      </c>
      <c r="D68" s="8" t="s">
        <v>185</v>
      </c>
      <c r="E68" s="8" t="s">
        <v>23</v>
      </c>
      <c r="F68" s="6" t="s">
        <v>182</v>
      </c>
      <c r="G68" s="8" t="s">
        <v>186</v>
      </c>
      <c r="H68" s="9"/>
      <c r="I68" s="10" t="n">
        <f aca="false">B68*H68</f>
        <v>0</v>
      </c>
      <c r="J68" s="11"/>
      <c r="K68" s="12"/>
    </row>
    <row r="69" customFormat="false" ht="26.85" hidden="false" customHeight="false" outlineLevel="0" collapsed="false">
      <c r="A69" s="6" t="n">
        <v>49</v>
      </c>
      <c r="B69" s="7" t="n">
        <v>1</v>
      </c>
      <c r="C69" s="8" t="s">
        <v>187</v>
      </c>
      <c r="D69" s="8" t="s">
        <v>188</v>
      </c>
      <c r="E69" s="8" t="s">
        <v>23</v>
      </c>
      <c r="F69" s="6" t="s">
        <v>182</v>
      </c>
      <c r="G69" s="8" t="s">
        <v>189</v>
      </c>
      <c r="H69" s="9"/>
      <c r="I69" s="10" t="n">
        <f aca="false">B69*H69</f>
        <v>0</v>
      </c>
      <c r="J69" s="11"/>
      <c r="K69" s="12"/>
    </row>
    <row r="70" customFormat="false" ht="15" hidden="false" customHeight="false" outlineLevel="0" collapsed="false">
      <c r="G70" s="13" t="s">
        <v>190</v>
      </c>
      <c r="I70" s="14" t="n">
        <f aca="false">SUM(I67:I69)</f>
        <v>0</v>
      </c>
    </row>
    <row r="71" customFormat="false" ht="15" hidden="false" customHeight="false" outlineLevel="0" collapsed="false">
      <c r="A71" s="5" t="s">
        <v>191</v>
      </c>
      <c r="B71" s="5"/>
      <c r="C71" s="5"/>
      <c r="D71" s="5"/>
      <c r="E71" s="5"/>
      <c r="F71" s="5"/>
      <c r="G71" s="5"/>
      <c r="H71" s="5"/>
      <c r="I71" s="5"/>
      <c r="J71" s="5"/>
      <c r="K71" s="5"/>
    </row>
    <row r="72" customFormat="false" ht="15" hidden="false" customHeight="false" outlineLevel="0" collapsed="false">
      <c r="A72" s="6" t="n">
        <v>50</v>
      </c>
      <c r="B72" s="7" t="n">
        <v>1</v>
      </c>
      <c r="C72" s="8" t="s">
        <v>192</v>
      </c>
      <c r="D72" s="8" t="s">
        <v>193</v>
      </c>
      <c r="E72" s="8" t="s">
        <v>23</v>
      </c>
      <c r="F72" s="6" t="s">
        <v>23</v>
      </c>
      <c r="G72" s="8" t="s">
        <v>194</v>
      </c>
      <c r="H72" s="9"/>
      <c r="I72" s="10" t="n">
        <f aca="false">B72*H72</f>
        <v>0</v>
      </c>
      <c r="J72" s="11"/>
      <c r="K72" s="12"/>
    </row>
    <row r="73" customFormat="false" ht="26.85" hidden="false" customHeight="false" outlineLevel="0" collapsed="false">
      <c r="A73" s="6" t="n">
        <v>51</v>
      </c>
      <c r="B73" s="7" t="n">
        <v>1</v>
      </c>
      <c r="C73" s="8" t="s">
        <v>195</v>
      </c>
      <c r="D73" s="8" t="s">
        <v>196</v>
      </c>
      <c r="E73" s="8" t="s">
        <v>23</v>
      </c>
      <c r="F73" s="6" t="s">
        <v>23</v>
      </c>
      <c r="G73" s="8" t="s">
        <v>197</v>
      </c>
      <c r="H73" s="9"/>
      <c r="I73" s="10" t="n">
        <f aca="false">B73*H73</f>
        <v>0</v>
      </c>
      <c r="J73" s="11"/>
      <c r="K73" s="12"/>
    </row>
    <row r="74" customFormat="false" ht="15" hidden="false" customHeight="false" outlineLevel="0" collapsed="false">
      <c r="A74" s="6" t="n">
        <v>52</v>
      </c>
      <c r="B74" s="7" t="n">
        <v>1</v>
      </c>
      <c r="C74" s="8" t="s">
        <v>198</v>
      </c>
      <c r="D74" s="8" t="s">
        <v>199</v>
      </c>
      <c r="E74" s="8" t="s">
        <v>23</v>
      </c>
      <c r="F74" s="6" t="s">
        <v>23</v>
      </c>
      <c r="G74" s="8" t="s">
        <v>200</v>
      </c>
      <c r="H74" s="9"/>
      <c r="I74" s="10" t="n">
        <f aca="false">B74*H74</f>
        <v>0</v>
      </c>
      <c r="J74" s="11"/>
      <c r="K74" s="12"/>
    </row>
    <row r="75" customFormat="false" ht="15" hidden="false" customHeight="false" outlineLevel="0" collapsed="false">
      <c r="A75" s="6" t="n">
        <v>53</v>
      </c>
      <c r="B75" s="7" t="n">
        <v>1</v>
      </c>
      <c r="C75" s="8" t="s">
        <v>201</v>
      </c>
      <c r="D75" s="8" t="s">
        <v>202</v>
      </c>
      <c r="E75" s="8" t="s">
        <v>23</v>
      </c>
      <c r="F75" s="6" t="s">
        <v>23</v>
      </c>
      <c r="G75" s="8" t="s">
        <v>203</v>
      </c>
      <c r="H75" s="9"/>
      <c r="I75" s="10" t="n">
        <f aca="false">B75*H75</f>
        <v>0</v>
      </c>
      <c r="J75" s="11"/>
      <c r="K75" s="12"/>
    </row>
    <row r="76" customFormat="false" ht="15" hidden="false" customHeight="false" outlineLevel="0" collapsed="false">
      <c r="A76" s="6" t="n">
        <v>54</v>
      </c>
      <c r="B76" s="7" t="n">
        <v>1</v>
      </c>
      <c r="C76" s="8" t="s">
        <v>204</v>
      </c>
      <c r="D76" s="8" t="s">
        <v>205</v>
      </c>
      <c r="E76" s="8" t="s">
        <v>23</v>
      </c>
      <c r="F76" s="6" t="s">
        <v>23</v>
      </c>
      <c r="G76" s="8" t="s">
        <v>206</v>
      </c>
      <c r="H76" s="9"/>
      <c r="I76" s="10" t="n">
        <f aca="false">B76*H76</f>
        <v>0</v>
      </c>
      <c r="J76" s="11"/>
      <c r="K76" s="12"/>
    </row>
    <row r="77" customFormat="false" ht="15" hidden="false" customHeight="false" outlineLevel="0" collapsed="false">
      <c r="A77" s="6" t="n">
        <v>55</v>
      </c>
      <c r="B77" s="7" t="n">
        <v>1</v>
      </c>
      <c r="C77" s="8" t="s">
        <v>207</v>
      </c>
      <c r="D77" s="8" t="s">
        <v>208</v>
      </c>
      <c r="E77" s="8" t="s">
        <v>23</v>
      </c>
      <c r="F77" s="6" t="s">
        <v>23</v>
      </c>
      <c r="G77" s="8" t="s">
        <v>200</v>
      </c>
      <c r="H77" s="9"/>
      <c r="I77" s="10" t="n">
        <f aca="false">B77*H77</f>
        <v>0</v>
      </c>
      <c r="J77" s="11"/>
      <c r="K77" s="12"/>
    </row>
    <row r="78" customFormat="false" ht="15" hidden="false" customHeight="false" outlineLevel="0" collapsed="false">
      <c r="A78" s="6" t="n">
        <v>56</v>
      </c>
      <c r="B78" s="7" t="n">
        <v>1</v>
      </c>
      <c r="C78" s="8" t="s">
        <v>209</v>
      </c>
      <c r="D78" s="8" t="s">
        <v>210</v>
      </c>
      <c r="E78" s="8" t="s">
        <v>23</v>
      </c>
      <c r="F78" s="6" t="s">
        <v>23</v>
      </c>
      <c r="G78" s="8" t="s">
        <v>211</v>
      </c>
      <c r="H78" s="9"/>
      <c r="I78" s="10" t="n">
        <f aca="false">B78*H78</f>
        <v>0</v>
      </c>
      <c r="J78" s="11"/>
      <c r="K78" s="12"/>
    </row>
    <row r="79" customFormat="false" ht="15" hidden="false" customHeight="false" outlineLevel="0" collapsed="false">
      <c r="A79" s="6" t="n">
        <v>57</v>
      </c>
      <c r="B79" s="7" t="n">
        <v>1</v>
      </c>
      <c r="C79" s="8" t="s">
        <v>212</v>
      </c>
      <c r="D79" s="8" t="s">
        <v>213</v>
      </c>
      <c r="E79" s="8" t="s">
        <v>23</v>
      </c>
      <c r="F79" s="6" t="s">
        <v>23</v>
      </c>
      <c r="G79" s="8" t="s">
        <v>214</v>
      </c>
      <c r="H79" s="9"/>
      <c r="I79" s="10" t="n">
        <f aca="false">B79*H79</f>
        <v>0</v>
      </c>
      <c r="J79" s="11"/>
      <c r="K79" s="12"/>
    </row>
    <row r="80" customFormat="false" ht="15" hidden="false" customHeight="false" outlineLevel="0" collapsed="false">
      <c r="G80" s="13" t="s">
        <v>215</v>
      </c>
      <c r="I80" s="14" t="n">
        <f aca="false">SUM(I72:I79)</f>
        <v>0</v>
      </c>
    </row>
    <row r="81" customFormat="false" ht="15" hidden="false" customHeight="false" outlineLevel="0" collapsed="false">
      <c r="A81" s="5" t="s">
        <v>216</v>
      </c>
      <c r="B81" s="5"/>
      <c r="C81" s="5"/>
      <c r="D81" s="5"/>
      <c r="E81" s="5"/>
      <c r="F81" s="5"/>
      <c r="G81" s="5"/>
      <c r="H81" s="5"/>
      <c r="I81" s="5"/>
      <c r="J81" s="5"/>
      <c r="K81" s="5"/>
    </row>
    <row r="82" customFormat="false" ht="15" hidden="false" customHeight="false" outlineLevel="0" collapsed="false">
      <c r="A82" s="6" t="n">
        <v>58</v>
      </c>
      <c r="B82" s="7" t="n">
        <v>1</v>
      </c>
      <c r="C82" s="8" t="s">
        <v>217</v>
      </c>
      <c r="D82" s="8" t="s">
        <v>218</v>
      </c>
      <c r="E82" s="8" t="s">
        <v>23</v>
      </c>
      <c r="F82" s="6" t="s">
        <v>61</v>
      </c>
      <c r="G82" s="8" t="s">
        <v>219</v>
      </c>
      <c r="H82" s="9"/>
      <c r="I82" s="10" t="n">
        <f aca="false">B82*H82</f>
        <v>0</v>
      </c>
      <c r="J82" s="11"/>
      <c r="K82" s="12"/>
    </row>
    <row r="83" customFormat="false" ht="26.85" hidden="false" customHeight="false" outlineLevel="0" collapsed="false">
      <c r="A83" s="6" t="n">
        <v>59</v>
      </c>
      <c r="B83" s="7" t="n">
        <v>1</v>
      </c>
      <c r="C83" s="8" t="s">
        <v>220</v>
      </c>
      <c r="D83" s="8" t="s">
        <v>221</v>
      </c>
      <c r="E83" s="8" t="s">
        <v>23</v>
      </c>
      <c r="F83" s="6" t="s">
        <v>61</v>
      </c>
      <c r="G83" s="8" t="s">
        <v>222</v>
      </c>
      <c r="H83" s="9"/>
      <c r="I83" s="10" t="n">
        <f aca="false">B83*H83</f>
        <v>0</v>
      </c>
      <c r="J83" s="11"/>
      <c r="K83" s="12"/>
    </row>
    <row r="84" customFormat="false" ht="26.85" hidden="false" customHeight="false" outlineLevel="0" collapsed="false">
      <c r="A84" s="6" t="n">
        <v>60</v>
      </c>
      <c r="B84" s="7" t="n">
        <v>1</v>
      </c>
      <c r="C84" s="8" t="s">
        <v>223</v>
      </c>
      <c r="D84" s="8" t="s">
        <v>224</v>
      </c>
      <c r="E84" s="8" t="s">
        <v>23</v>
      </c>
      <c r="F84" s="6" t="s">
        <v>61</v>
      </c>
      <c r="G84" s="8" t="s">
        <v>225</v>
      </c>
      <c r="H84" s="9"/>
      <c r="I84" s="10" t="n">
        <f aca="false">B84*H84</f>
        <v>0</v>
      </c>
      <c r="J84" s="11"/>
      <c r="K84" s="12"/>
    </row>
    <row r="85" customFormat="false" ht="15" hidden="false" customHeight="false" outlineLevel="0" collapsed="false">
      <c r="A85" s="6" t="n">
        <v>61</v>
      </c>
      <c r="B85" s="7" t="n">
        <v>1</v>
      </c>
      <c r="C85" s="8" t="s">
        <v>226</v>
      </c>
      <c r="D85" s="8" t="s">
        <v>227</v>
      </c>
      <c r="E85" s="8" t="s">
        <v>23</v>
      </c>
      <c r="F85" s="6" t="s">
        <v>72</v>
      </c>
      <c r="G85" s="8" t="s">
        <v>228</v>
      </c>
      <c r="H85" s="9"/>
      <c r="I85" s="10" t="n">
        <f aca="false">B85*H85</f>
        <v>0</v>
      </c>
      <c r="J85" s="11"/>
      <c r="K85" s="12"/>
    </row>
    <row r="86" customFormat="false" ht="15" hidden="false" customHeight="false" outlineLevel="0" collapsed="false">
      <c r="G86" s="13" t="s">
        <v>229</v>
      </c>
      <c r="I86" s="14" t="n">
        <f aca="false">SUM(I82:I85)</f>
        <v>0</v>
      </c>
    </row>
    <row r="88" customFormat="false" ht="15" hidden="false" customHeight="false" outlineLevel="0" collapsed="false">
      <c r="G88" s="15" t="s">
        <v>230</v>
      </c>
      <c r="I88" s="16" t="n">
        <f aca="false">I13+I19+I32+I38+I48+I56+I65+I70+I80+I86</f>
        <v>0</v>
      </c>
    </row>
    <row r="89" customFormat="false" ht="15" hidden="false" customHeight="false" outlineLevel="0" collapsed="false">
      <c r="G89" s="17" t="s">
        <v>231</v>
      </c>
      <c r="I89" s="18" t="n">
        <f aca="false">COUNTIF(B6:B80,"&gt;0")-COUNTIF(K6:K80,"Y")</f>
        <v>54</v>
      </c>
    </row>
    <row r="91" customFormat="false" ht="15" hidden="false" customHeight="false" outlineLevel="0" collapsed="false">
      <c r="A91" s="19" t="s">
        <v>232</v>
      </c>
    </row>
  </sheetData>
  <autoFilter ref="A5:K86"/>
  <mergeCells count="1">
    <mergeCell ref="A3:K3"/>
  </mergeCells>
  <dataValidations count="1">
    <dataValidation allowBlank="true" errorStyle="stop" operator="between" showDropDown="false" showErrorMessage="false" showInputMessage="false" sqref="K7:K12 K15:K18 K21:K31 K34:K37 K40:K47 K50:K55 K58:K64 K67:K69 K72:K79 K82:K8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2026-10-23T02:06:55Z</dcterms:created>
  <dc:creator>openpyxl</dc:creator>
  <dc:description/>
  <dc:language>en-US</dc:language>
  <cp:lastModifiedBy/>
  <dcterms:modified xsi:type="dcterms:W3CDTF">2026-10-23T02:06:55Z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