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M" sheetId="1" state="visible" r:id="rId1"/>
  </sheets>
  <definedNames>
    <definedName name="_xlnm._FilterDatabase" localSheetId="0" hidden="1">'BOM'!$A$5:$K$109</definedName>
    <definedName name="_xlnm.Print_Titles" localSheetId="0">'BOM'!$5:$5</definedName>
  </definedNames>
  <calcPr calcId="124519" fullCalcOnLoad="1"/>
</workbook>
</file>

<file path=xl/styles.xml><?xml version="1.0" encoding="utf-8"?>
<styleSheet xmlns="http://schemas.openxmlformats.org/spreadsheetml/2006/main">
  <numFmts count="1">
    <numFmt numFmtId="164" formatCode="$#,##0.00;($#,##0.00);&quot;-&quot;"/>
  </numFmts>
  <fonts count="13">
    <font>
      <name val="Calibri"/>
      <family val="2"/>
      <color theme="1"/>
      <sz val="11"/>
      <scheme val="minor"/>
    </font>
    <font>
      <name val="Arial"/>
      <b val="1"/>
      <sz val="16"/>
    </font>
    <font>
      <name val="Arial"/>
      <i val="1"/>
      <color rgb="00595959"/>
      <sz val="10"/>
    </font>
    <font>
      <name val="Arial"/>
      <sz val="10"/>
    </font>
    <font>
      <name val="Arial"/>
      <b val="1"/>
      <color rgb="00FFFFFF"/>
    </font>
    <font>
      <name val="Arial"/>
      <b val="1"/>
    </font>
    <font>
      <name val="Arial"/>
      <color rgb="00000000"/>
    </font>
    <font>
      <name val="Arial"/>
      <color rgb="000000FF"/>
    </font>
    <font>
      <name val="Arial"/>
    </font>
    <font>
      <name val="Arial"/>
      <i val="1"/>
    </font>
    <font>
      <name val="Arial"/>
      <b val="1"/>
      <i val="1"/>
    </font>
    <font>
      <name val="Arial"/>
      <b val="1"/>
      <sz val="12"/>
    </font>
    <font>
      <name val="Arial"/>
      <i val="1"/>
      <color rgb="00595959"/>
      <sz val="9"/>
    </font>
  </fonts>
  <fills count="5">
    <fill>
      <patternFill/>
    </fill>
    <fill>
      <patternFill patternType="gray125"/>
    </fill>
    <fill>
      <patternFill patternType="solid">
        <fgColor rgb="00FFFF00"/>
      </patternFill>
    </fill>
    <fill>
      <patternFill patternType="solid">
        <fgColor rgb="001F3864"/>
      </patternFill>
    </fill>
    <fill>
      <patternFill patternType="solid">
        <fgColor rgb="00D9E1F2"/>
      </patternFill>
    </fill>
  </fills>
  <borders count="3">
    <border>
      <left/>
      <right/>
      <top/>
      <bottom/>
      <diagonal/>
    </border>
    <border>
      <left style="thin">
        <color rgb="00BFBFBF"/>
      </left>
      <right style="thin">
        <color rgb="00BFBFBF"/>
      </right>
      <top style="thin">
        <color rgb="00BFBFBF"/>
      </top>
      <bottom style="thin">
        <color rgb="00BFBFBF"/>
      </bottom>
    </border>
    <border>
      <top style="thin"/>
      <bottom style="double"/>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4" borderId="1" pivotButton="0" quotePrefix="0" xfId="0"/>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6" fillId="0" borderId="1" applyAlignment="1" pivotButton="0" quotePrefix="0" xfId="0">
      <alignment horizontal="left" vertical="top" wrapText="1"/>
    </xf>
    <xf numFmtId="164" fontId="7" fillId="2" borderId="1" pivotButton="0" quotePrefix="0" xfId="0"/>
    <xf numFmtId="164" fontId="8" fillId="0" borderId="1" pivotButton="0" quotePrefix="0" xfId="0"/>
    <xf numFmtId="0" fontId="8" fillId="2" borderId="1" pivotButton="0" quotePrefix="0" xfId="0"/>
    <xf numFmtId="0" fontId="8" fillId="2" borderId="1" applyAlignment="1" pivotButton="0" quotePrefix="0" xfId="0">
      <alignment horizontal="center"/>
    </xf>
    <xf numFmtId="0" fontId="9" fillId="0" borderId="0" applyAlignment="1" pivotButton="0" quotePrefix="0" xfId="0">
      <alignment horizontal="right"/>
    </xf>
    <xf numFmtId="164" fontId="10" fillId="0" borderId="0" pivotButton="0" quotePrefix="0" xfId="0"/>
    <xf numFmtId="0" fontId="11" fillId="0" borderId="0" applyAlignment="1" pivotButton="0" quotePrefix="0" xfId="0">
      <alignment horizontal="right"/>
    </xf>
    <xf numFmtId="164" fontId="11" fillId="0" borderId="2" pivotButton="0" quotePrefix="0" xfId="0"/>
    <xf numFmtId="0" fontId="8" fillId="0" borderId="0" applyAlignment="1" pivotButton="0" quotePrefix="0" xfId="0">
      <alignment horizontal="right"/>
    </xf>
    <xf numFmtId="0" fontId="8"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1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28" customWidth="1" min="3" max="3"/>
    <col width="38" customWidth="1" min="4" max="4"/>
    <col width="22" customWidth="1" min="5" max="5"/>
    <col width="13" customWidth="1" min="6" max="6"/>
    <col width="44" customWidth="1" min="7" max="7"/>
    <col width="15" customWidth="1" min="8" max="8"/>
    <col width="15" customWidth="1" min="9" max="9"/>
    <col width="16" customWidth="1" min="10" max="10"/>
    <col width="9" customWidth="1" min="11" max="11"/>
  </cols>
  <sheetData>
    <row r="1">
      <c r="A1" s="1" t="inlineStr">
        <is>
          <t>Bobcat Digital Dash — Bill of Materials</t>
        </is>
      </c>
    </row>
    <row r="2">
      <c r="A2" s="2" t="inlineStr">
        <is>
          <t>Matches docs/wiring-schematic.jpg ("Sch. n" = schematic section) and README.md.</t>
        </is>
      </c>
    </row>
    <row r="3">
      <c r="A3" s="3" t="inlineStr">
        <is>
          <t>How to use: enter prices in the yellow cells (e.g. 4.95); extended prices and totals update automatically. Mark Ordered with Y/N.</t>
        </is>
      </c>
    </row>
    <row r="5" ht="30" customHeight="1">
      <c r="A5" s="4" t="inlineStr">
        <is>
          <t>Item</t>
        </is>
      </c>
      <c r="B5" s="4" t="inlineStr">
        <is>
          <t>Qty</t>
        </is>
      </c>
      <c r="C5" s="4" t="inlineStr">
        <is>
          <t>Part</t>
        </is>
      </c>
      <c r="D5" s="4" t="inlineStr">
        <is>
          <t>Value / Spec</t>
        </is>
      </c>
      <c r="E5" s="4" t="inlineStr">
        <is>
          <t>Example Part No.</t>
        </is>
      </c>
      <c r="F5" s="4" t="inlineStr">
        <is>
          <t>Used In</t>
        </is>
      </c>
      <c r="G5" s="4" t="inlineStr">
        <is>
          <t>Notes</t>
        </is>
      </c>
      <c r="H5" s="4" t="inlineStr">
        <is>
          <t>Unit Price (USD)</t>
        </is>
      </c>
      <c r="I5" s="4" t="inlineStr">
        <is>
          <t>Ext. Price (USD)</t>
        </is>
      </c>
      <c r="J5" s="4" t="inlineStr">
        <is>
          <t>Supplier</t>
        </is>
      </c>
      <c r="K5" s="4" t="inlineStr">
        <is>
          <t>Ordered</t>
        </is>
      </c>
    </row>
    <row r="6">
      <c r="A6" s="5" t="inlineStr">
        <is>
          <t>COMPUTER + DISPLAY</t>
        </is>
      </c>
      <c r="B6" s="5" t="n"/>
      <c r="C6" s="5" t="n"/>
      <c r="D6" s="5" t="n"/>
      <c r="E6" s="5" t="n"/>
      <c r="F6" s="5" t="n"/>
      <c r="G6" s="5" t="n"/>
      <c r="H6" s="5" t="n"/>
      <c r="I6" s="5" t="n"/>
      <c r="J6" s="5" t="n"/>
      <c r="K6" s="5" t="n"/>
    </row>
    <row r="7">
      <c r="A7" s="6" t="n">
        <v>1</v>
      </c>
      <c r="B7" s="7" t="n">
        <v>1</v>
      </c>
      <c r="C7" s="8" t="inlineStr">
        <is>
          <t>Raspberry Pi</t>
        </is>
      </c>
      <c r="D7" s="8" t="inlineStr">
        <is>
          <t>Pi 4 Model B (2 GB+) or Pi 5</t>
        </is>
      </c>
      <c r="E7" s="8" t="inlineStr">
        <is>
          <t>Raspberry Pi 4B / Pi 5</t>
        </is>
      </c>
      <c r="F7" s="6" t="inlineStr">
        <is>
          <t>Sch. 2</t>
        </is>
      </c>
      <c r="G7" s="8" t="inlineStr">
        <is>
          <t>Pi 5 needs a 5 A supply</t>
        </is>
      </c>
      <c r="H7" s="9" t="n"/>
      <c r="I7" s="10">
        <f>B7*H7</f>
        <v/>
      </c>
      <c r="J7" s="11" t="n"/>
      <c r="K7" s="12" t="n"/>
    </row>
    <row r="8">
      <c r="A8" s="6" t="n">
        <v>2</v>
      </c>
      <c r="B8" s="7" t="n">
        <v>1</v>
      </c>
      <c r="C8" s="8" t="inlineStr">
        <is>
          <t>microSD card</t>
        </is>
      </c>
      <c r="D8" s="8" t="inlineStr">
        <is>
          <t>16–32 GB, high-endurance, A1/A2</t>
        </is>
      </c>
      <c r="E8" s="8" t="inlineStr">
        <is>
          <t>SanDisk High Endurance</t>
        </is>
      </c>
      <c r="F8" s="6" t="inlineStr">
        <is>
          <t>—</t>
        </is>
      </c>
      <c r="G8" s="8" t="inlineStr">
        <is>
          <t>Do NOT enable the overlay file system: it would erase the engine hours</t>
        </is>
      </c>
      <c r="H8" s="9" t="n"/>
      <c r="I8" s="10">
        <f>B8*H8</f>
        <v/>
      </c>
      <c r="J8" s="11" t="n"/>
      <c r="K8" s="12" t="n"/>
    </row>
    <row r="9">
      <c r="A9" s="6" t="n">
        <v>3</v>
      </c>
      <c r="B9" s="7" t="n">
        <v>1</v>
      </c>
      <c r="C9" s="8" t="inlineStr">
        <is>
          <t>Pi 5 RTC battery</t>
        </is>
      </c>
      <c r="D9" s="8" t="inlineStr">
        <is>
          <t>Rechargeable lithium-manganese coin cell, 2-pin JST-SH lead (Pi 5 only)</t>
        </is>
      </c>
      <c r="E9" s="8" t="inlineStr">
        <is>
          <t>Raspberry Pi RTC battery (Panasonic ML-2020)</t>
        </is>
      </c>
      <c r="F9" s="6" t="inlineStr">
        <is>
          <t>README: Screens / Dates</t>
        </is>
      </c>
      <c r="G9" s="8" t="inlineStr">
        <is>
          <t>Plugs into the Pi 5's BAT socket; keeps the clock through key-off; setup-pi.sh turns its charging on. Never a CR2032 (not rechargeable). Rated to 60 °C</t>
        </is>
      </c>
      <c r="H9" s="9" t="n"/>
      <c r="I9" s="10">
        <f>B9*H9</f>
        <v/>
      </c>
      <c r="J9" s="11" t="n"/>
      <c r="K9" s="12" t="n"/>
    </row>
    <row r="10">
      <c r="A10" s="6" t="n">
        <v>4</v>
      </c>
      <c r="B10" s="7" t="n">
        <v>1</v>
      </c>
      <c r="C10" s="8" t="inlineStr">
        <is>
          <t>Weatherproof HDMI monitor</t>
        </is>
      </c>
      <c r="D10" s="8" t="inlineStr">
        <is>
          <t>12 V powered, IP65+, ≥800 nits, 1024×768 or similar</t>
        </is>
      </c>
      <c r="E10" s="8" t="inlineStr">
        <is>
          <t>—</t>
        </is>
      </c>
      <c r="F10" s="6" t="inlineStr">
        <is>
          <t>README: Monitor</t>
        </is>
      </c>
      <c r="G10" s="8" t="inlineStr">
        <is>
          <t>Sunlight-readable strongly recommended. Note its native resolution for the splash + video= setting</t>
        </is>
      </c>
      <c r="H10" s="9" t="n"/>
      <c r="I10" s="10">
        <f>B10*H10</f>
        <v/>
      </c>
      <c r="J10" s="11" t="n"/>
      <c r="K10" s="12" t="n"/>
    </row>
    <row r="11">
      <c r="A11" s="6" t="n">
        <v>5</v>
      </c>
      <c r="B11" s="7" t="n">
        <v>1</v>
      </c>
      <c r="C11" s="8" t="inlineStr">
        <is>
          <t>HDMI cable</t>
        </is>
      </c>
      <c r="D11" s="8" t="inlineStr">
        <is>
          <t>Micro-HDMI to HDMI, long enough to reach the monitor (≤5 m)</t>
        </is>
      </c>
      <c r="E11" s="8" t="inlineStr">
        <is>
          <t>—</t>
        </is>
      </c>
      <c r="F11" s="6" t="inlineStr">
        <is>
          <t>README: Monitor</t>
        </is>
      </c>
      <c r="G11" s="8" t="inlineStr">
        <is>
          <t>Pi 4/5 use micro-HDMI. Strain-relieve both ends</t>
        </is>
      </c>
      <c r="H11" s="9" t="n"/>
      <c r="I11" s="10">
        <f>B11*H11</f>
        <v/>
      </c>
      <c r="J11" s="11" t="n"/>
      <c r="K11" s="12" t="n"/>
    </row>
    <row r="12">
      <c r="A12" s="6" t="n">
        <v>6</v>
      </c>
      <c r="B12" s="7" t="n">
        <v>1</v>
      </c>
      <c r="C12" s="8" t="inlineStr">
        <is>
          <t>Inline fuse holder + fuse</t>
        </is>
      </c>
      <c r="D12" s="8" t="inlineStr">
        <is>
          <t>Blade type, size from the monitor's manual (typ. 3–5 A)</t>
        </is>
      </c>
      <c r="E12" s="8" t="inlineStr">
        <is>
          <t>—</t>
        </is>
      </c>
      <c r="F12" s="6" t="inlineStr">
        <is>
          <t>README: Monitor</t>
        </is>
      </c>
      <c r="G12" s="8" t="inlineStr">
        <is>
          <t>Key-switched 12 V feed to the monitor. Ground the monitor at the board's ground point</t>
        </is>
      </c>
      <c r="H12" s="9" t="n"/>
      <c r="I12" s="10">
        <f>B12*H12</f>
        <v/>
      </c>
      <c r="J12" s="11" t="n"/>
      <c r="K12" s="12" t="n"/>
    </row>
    <row r="13">
      <c r="A13" s="6" t="n">
        <v>7</v>
      </c>
      <c r="B13" s="7" t="n">
        <v>1</v>
      </c>
      <c r="C13" s="8" t="inlineStr">
        <is>
          <t>Heatsink or fan case</t>
        </is>
      </c>
      <c r="D13" s="8" t="inlineStr">
        <is>
          <t>For Pi 4/5</t>
        </is>
      </c>
      <c r="E13" s="8" t="inlineStr">
        <is>
          <t>—</t>
        </is>
      </c>
      <c r="F13" s="6" t="inlineStr">
        <is>
          <t>—</t>
        </is>
      </c>
      <c r="G13" s="8" t="inlineStr">
        <is>
          <t>Enclosed cab gets hot in summer</t>
        </is>
      </c>
      <c r="H13" s="9" t="n"/>
      <c r="I13" s="10">
        <f>B13*H13</f>
        <v/>
      </c>
      <c r="J13" s="11" t="n"/>
      <c r="K13" s="12" t="n"/>
    </row>
    <row r="14">
      <c r="G14" s="13" t="inlineStr">
        <is>
          <t>Subtotal — Computer + Display</t>
        </is>
      </c>
      <c r="I14" s="14">
        <f>SUM(I7:I13)</f>
        <v/>
      </c>
    </row>
    <row r="15">
      <c r="A15" s="5" t="inlineStr">
        <is>
          <t>POWER</t>
        </is>
      </c>
      <c r="B15" s="5" t="n"/>
      <c r="C15" s="5" t="n"/>
      <c r="D15" s="5" t="n"/>
      <c r="E15" s="5" t="n"/>
      <c r="F15" s="5" t="n"/>
      <c r="G15" s="5" t="n"/>
      <c r="H15" s="5" t="n"/>
      <c r="I15" s="5" t="n"/>
      <c r="J15" s="5" t="n"/>
      <c r="K15" s="5" t="n"/>
    </row>
    <row r="16">
      <c r="A16" s="6" t="n">
        <v>8</v>
      </c>
      <c r="B16" s="7" t="n">
        <v>1</v>
      </c>
      <c r="C16" s="8" t="inlineStr">
        <is>
          <t>Buck converter 12 V → 5 V</t>
        </is>
      </c>
      <c r="D16" s="8" t="inlineStr">
        <is>
          <t>5 A, 8–36 V input, automotive</t>
        </is>
      </c>
      <c r="E16" s="8" t="inlineStr">
        <is>
          <t>—</t>
        </is>
      </c>
      <c r="F16" s="6" t="inlineStr">
        <is>
          <t>Sch. 1</t>
        </is>
      </c>
      <c r="G16" s="8" t="inlineStr">
        <is>
          <t>Not a cigarette-lighter USB plug</t>
        </is>
      </c>
      <c r="H16" s="9" t="n"/>
      <c r="I16" s="10">
        <f>B16*H16</f>
        <v/>
      </c>
      <c r="J16" s="11" t="n"/>
      <c r="K16" s="12" t="n"/>
    </row>
    <row r="17">
      <c r="A17" s="6" t="n">
        <v>9</v>
      </c>
      <c r="B17" s="7" t="n">
        <v>1</v>
      </c>
      <c r="C17" s="8" t="inlineStr">
        <is>
          <t>Inline fuse holder + fuse</t>
        </is>
      </c>
      <c r="D17" s="8" t="inlineStr">
        <is>
          <t>Blade type, 7.5 A</t>
        </is>
      </c>
      <c r="E17" s="8" t="inlineStr">
        <is>
          <t>—</t>
        </is>
      </c>
      <c r="F17" s="6" t="inlineStr">
        <is>
          <t>Sch. 1</t>
        </is>
      </c>
      <c r="G17" s="8" t="inlineStr">
        <is>
          <t>At the battery, on the constant +12 V feed to the board's BAT+ (rev 2.0). Hand-wired without the board: 3 A on the ignition feed instead</t>
        </is>
      </c>
      <c r="H17" s="9" t="n"/>
      <c r="I17" s="10">
        <f>B17*H17</f>
        <v/>
      </c>
      <c r="J17" s="11" t="n"/>
      <c r="K17" s="12" t="n"/>
    </row>
    <row r="18">
      <c r="A18" s="6" t="n">
        <v>10</v>
      </c>
      <c r="B18" s="7" t="n">
        <v>1</v>
      </c>
      <c r="C18" s="8" t="inlineStr">
        <is>
          <t>Inline fuse holder + fuse</t>
        </is>
      </c>
      <c r="D18" s="8" t="inlineStr">
        <is>
          <t>Blade type, 2 A</t>
        </is>
      </c>
      <c r="E18" s="8" t="inlineStr">
        <is>
          <t>—</t>
        </is>
      </c>
      <c r="F18" s="6" t="inlineStr">
        <is>
          <t>Board README</t>
        </is>
      </c>
      <c r="G18" s="8" t="inlineStr">
        <is>
          <t>At the key switch, on the IGN sense wire to the board (rev 2.0)</t>
        </is>
      </c>
      <c r="H18" s="9" t="n"/>
      <c r="I18" s="10">
        <f>B18*H18</f>
        <v/>
      </c>
      <c r="J18" s="11" t="n"/>
      <c r="K18" s="12" t="n"/>
    </row>
    <row r="19">
      <c r="A19" s="6" t="n">
        <v>11</v>
      </c>
      <c r="B19" s="7" t="n">
        <v>1</v>
      </c>
      <c r="C19" s="8" t="inlineStr">
        <is>
          <t>USB-C power lead / pigtail</t>
        </is>
      </c>
      <c r="D19" s="8" t="inlineStr">
        <is>
          <t>Buck output to Pi</t>
        </is>
      </c>
      <c r="E19" s="8" t="inlineStr">
        <is>
          <t>—</t>
        </is>
      </c>
      <c r="F19" s="6" t="inlineStr">
        <is>
          <t>Sch. 1</t>
        </is>
      </c>
      <c r="G19" s="8" t="inlineStr">
        <is>
          <t>Or feed the Pi's 5 V header pins</t>
        </is>
      </c>
      <c r="H19" s="9" t="n"/>
      <c r="I19" s="10">
        <f>B19*H19</f>
        <v/>
      </c>
      <c r="J19" s="11" t="n"/>
      <c r="K19" s="12" t="n"/>
    </row>
    <row r="20">
      <c r="G20" s="13" t="inlineStr">
        <is>
          <t>Subtotal — Power</t>
        </is>
      </c>
      <c r="I20" s="14">
        <f>SUM(I16:I19)</f>
        <v/>
      </c>
    </row>
    <row r="21">
      <c r="A21" s="5" t="inlineStr">
        <is>
          <t>SENSOR INTERFACE</t>
        </is>
      </c>
      <c r="B21" s="5" t="n"/>
      <c r="C21" s="5" t="n"/>
      <c r="D21" s="5" t="n"/>
      <c r="E21" s="5" t="n"/>
      <c r="F21" s="5" t="n"/>
      <c r="G21" s="5" t="n"/>
      <c r="H21" s="5" t="n"/>
      <c r="I21" s="5" t="n"/>
      <c r="J21" s="5" t="n"/>
      <c r="K21" s="5" t="n"/>
    </row>
    <row r="22">
      <c r="A22" s="6" t="n">
        <v>12</v>
      </c>
      <c r="B22" s="7" t="n">
        <v>1</v>
      </c>
      <c r="C22" s="8" t="inlineStr">
        <is>
          <t>ADC board</t>
        </is>
      </c>
      <c r="D22" s="8" t="inlineStr">
        <is>
          <t>ADS1115 16-bit, 4-ch, I2C</t>
        </is>
      </c>
      <c r="E22" s="8" t="inlineStr">
        <is>
          <t>Adafruit 1085 (STEMMA QT, two header rows)</t>
        </is>
      </c>
      <c r="F22" s="6" t="inlineStr">
        <is>
          <t>Sch. 2–4</t>
        </is>
      </c>
      <c r="G22" s="8" t="inlineStr">
        <is>
          <t>Plugs straight into the board (rev 2.8). Address 0x48 (ADDR to GND)</t>
        </is>
      </c>
      <c r="H22" s="9" t="n"/>
      <c r="I22" s="10">
        <f>B22*H22</f>
        <v/>
      </c>
      <c r="J22" s="11" t="n"/>
      <c r="K22" s="12" t="n"/>
    </row>
    <row r="23">
      <c r="A23" s="6" t="n">
        <v>13</v>
      </c>
      <c r="B23" s="7" t="n">
        <v>4</v>
      </c>
      <c r="C23" s="8" t="inlineStr">
        <is>
          <t>M2.5 standoff + 8 screws</t>
        </is>
      </c>
      <c r="D23" s="8" t="inlineStr">
        <is>
          <t>11 mm female-female, round (or 5 mm hex)</t>
        </is>
      </c>
      <c r="E23" s="8" t="inlineStr">
        <is>
          <t>—</t>
        </is>
      </c>
      <c r="F23" s="6" t="inlineStr">
        <is>
          <t>Board README</t>
        </is>
      </c>
      <c r="G23" s="8" t="inlineStr">
        <is>
          <t>Screws the ADS1115 module down to the board (holes H5-H8) against vibration</t>
        </is>
      </c>
      <c r="H23" s="9" t="n"/>
      <c r="I23" s="10">
        <f>B23*H23</f>
        <v/>
      </c>
      <c r="J23" s="11" t="n"/>
      <c r="K23" s="12" t="n"/>
    </row>
    <row r="24">
      <c r="A24" s="6" t="n">
        <v>14</v>
      </c>
      <c r="B24" s="7" t="n">
        <v>2</v>
      </c>
      <c r="C24" s="8" t="inlineStr">
        <is>
          <t>Optocoupler</t>
        </is>
      </c>
      <c r="D24" s="8" t="inlineStr">
        <is>
          <t>PC817</t>
        </is>
      </c>
      <c r="E24" s="8" t="inlineStr">
        <is>
          <t>PC817</t>
        </is>
      </c>
      <c r="F24" s="6" t="inlineStr">
        <is>
          <t>Sch. 5</t>
        </is>
      </c>
      <c r="G24" s="8" t="inlineStr">
        <is>
          <t>Oil pressure and tach</t>
        </is>
      </c>
      <c r="H24" s="9" t="n"/>
      <c r="I24" s="10">
        <f>B24*H24</f>
        <v/>
      </c>
      <c r="J24" s="11" t="n"/>
      <c r="K24" s="12" t="n"/>
    </row>
    <row r="25">
      <c r="A25" s="6" t="n">
        <v>15</v>
      </c>
      <c r="B25" s="7" t="n">
        <v>1</v>
      </c>
      <c r="C25" s="8" t="inlineStr">
        <is>
          <t>Resistor 47 kΩ</t>
        </is>
      </c>
      <c r="D25" s="8" t="inlineStr">
        <is>
          <t>1/4 W, 1 %</t>
        </is>
      </c>
      <c r="E25" s="8" t="inlineStr">
        <is>
          <t>—</t>
        </is>
      </c>
      <c r="F25" s="6" t="inlineStr">
        <is>
          <t>Sch. 3</t>
        </is>
      </c>
      <c r="G25" s="8" t="inlineStr">
        <is>
          <t>Battery divider top (ratio 5.7)</t>
        </is>
      </c>
      <c r="H25" s="9" t="n"/>
      <c r="I25" s="10">
        <f>B25*H25</f>
        <v/>
      </c>
      <c r="J25" s="11" t="n"/>
      <c r="K25" s="12" t="n"/>
    </row>
    <row r="26">
      <c r="A26" s="6" t="n">
        <v>16</v>
      </c>
      <c r="B26" s="7" t="n">
        <v>4</v>
      </c>
      <c r="C26" s="8" t="inlineStr">
        <is>
          <t>Resistor 10 kΩ</t>
        </is>
      </c>
      <c r="D26" s="8" t="inlineStr">
        <is>
          <t>1/4 W, 1 %</t>
        </is>
      </c>
      <c r="E26" s="8" t="inlineStr">
        <is>
          <t>—</t>
        </is>
      </c>
      <c r="F26" s="6" t="inlineStr">
        <is>
          <t>Sch. 3, 5, 6</t>
        </is>
      </c>
      <c r="G26" s="8" t="inlineStr">
        <is>
          <t>Battery divider, filter/temp series (2), horn gate pull-down</t>
        </is>
      </c>
      <c r="H26" s="9" t="n"/>
      <c r="I26" s="10">
        <f>B26*H26</f>
        <v/>
      </c>
      <c r="J26" s="11" t="n"/>
      <c r="K26" s="12" t="n"/>
    </row>
    <row r="27">
      <c r="A27" s="6" t="n">
        <v>17</v>
      </c>
      <c r="B27" s="7" t="n">
        <v>1</v>
      </c>
      <c r="C27" s="8" t="inlineStr">
        <is>
          <t>Resistor 220 Ω</t>
        </is>
      </c>
      <c r="D27" s="8" t="inlineStr">
        <is>
          <t>1/4 W</t>
        </is>
      </c>
      <c r="E27" s="8" t="inlineStr">
        <is>
          <t>—</t>
        </is>
      </c>
      <c r="F27" s="6" t="inlineStr">
        <is>
          <t>Sch. 4</t>
        </is>
      </c>
      <c r="G27" s="8" t="inlineStr">
        <is>
          <t>Fuel sender pull-up</t>
        </is>
      </c>
      <c r="H27" s="9" t="n"/>
      <c r="I27" s="10">
        <f>B27*H27</f>
        <v/>
      </c>
      <c r="J27" s="11" t="n"/>
      <c r="K27" s="12" t="n"/>
    </row>
    <row r="28">
      <c r="A28" s="6" t="n">
        <v>18</v>
      </c>
      <c r="B28" s="7" t="n">
        <v>2</v>
      </c>
      <c r="C28" s="8" t="inlineStr">
        <is>
          <t>Resistor 2.2 kΩ</t>
        </is>
      </c>
      <c r="D28" s="8" t="inlineStr">
        <is>
          <t>1/4 W</t>
        </is>
      </c>
      <c r="E28" s="8" t="inlineStr">
        <is>
          <t>—</t>
        </is>
      </c>
      <c r="F28" s="6" t="inlineStr">
        <is>
          <t>Sch. 5</t>
        </is>
      </c>
      <c r="G28" s="8" t="inlineStr">
        <is>
          <t>Optocoupler LED current</t>
        </is>
      </c>
      <c r="H28" s="9" t="n"/>
      <c r="I28" s="10">
        <f>B28*H28</f>
        <v/>
      </c>
      <c r="J28" s="11" t="n"/>
      <c r="K28" s="12" t="n"/>
    </row>
    <row r="29">
      <c r="A29" s="6" t="n">
        <v>19</v>
      </c>
      <c r="B29" s="7" t="n">
        <v>3</v>
      </c>
      <c r="C29" s="8" t="inlineStr">
        <is>
          <t>Resistor 4.7 kΩ</t>
        </is>
      </c>
      <c r="D29" s="8" t="inlineStr">
        <is>
          <t>1/4 W, 1 %</t>
        </is>
      </c>
      <c r="E29" s="8" t="inlineStr">
        <is>
          <t>—</t>
        </is>
      </c>
      <c r="F29" s="6" t="inlineStr">
        <is>
          <t>Sch. 5</t>
        </is>
      </c>
      <c r="G29" s="8" t="inlineStr">
        <is>
          <t>Tach pull-up, filter/temp pull-ups to 3.3 V</t>
        </is>
      </c>
      <c r="H29" s="9" t="n"/>
      <c r="I29" s="10">
        <f>B29*H29</f>
        <v/>
      </c>
      <c r="J29" s="11" t="n"/>
      <c r="K29" s="12" t="n"/>
    </row>
    <row r="30">
      <c r="A30" s="6" t="n">
        <v>20</v>
      </c>
      <c r="B30" s="7" t="n">
        <v>8</v>
      </c>
      <c r="C30" s="8" t="inlineStr">
        <is>
          <t>Schottky diode</t>
        </is>
      </c>
      <c r="D30" s="8" t="inlineStr">
        <is>
          <t>BAT85, DO-35</t>
        </is>
      </c>
      <c r="E30" s="8" t="inlineStr">
        <is>
          <t>BAT85</t>
        </is>
      </c>
      <c r="F30" s="6" t="inlineStr">
        <is>
          <t>Sch. 3, 4, 5</t>
        </is>
      </c>
      <c r="G30" s="8" t="inlineStr">
        <is>
          <t>ADC input clamps: one to 3.3 V, one to GND per input (A0-A3)</t>
        </is>
      </c>
      <c r="H30" s="9" t="n"/>
      <c r="I30" s="10">
        <f>B30*H30</f>
        <v/>
      </c>
      <c r="J30" s="11" t="n"/>
      <c r="K30" s="12" t="n"/>
    </row>
    <row r="31">
      <c r="A31" s="6" t="n">
        <v>21</v>
      </c>
      <c r="B31" s="7" t="n">
        <v>2</v>
      </c>
      <c r="C31" s="8" t="inlineStr">
        <is>
          <t>Signal diode</t>
        </is>
      </c>
      <c r="D31" s="8" t="inlineStr">
        <is>
          <t>1N4148</t>
        </is>
      </c>
      <c r="E31" s="8" t="inlineStr">
        <is>
          <t>1N4148</t>
        </is>
      </c>
      <c r="F31" s="6" t="inlineStr">
        <is>
          <t>Sch. 5</t>
        </is>
      </c>
      <c r="G31" s="8" t="inlineStr">
        <is>
          <t>Reverse protection across opto LEDs</t>
        </is>
      </c>
      <c r="H31" s="9" t="n"/>
      <c r="I31" s="10">
        <f>B31*H31</f>
        <v/>
      </c>
      <c r="J31" s="11" t="n"/>
      <c r="K31" s="12" t="n"/>
    </row>
    <row r="32">
      <c r="A32" s="6" t="n">
        <v>22</v>
      </c>
      <c r="B32" s="7" t="n">
        <v>4</v>
      </c>
      <c r="C32" s="8" t="inlineStr">
        <is>
          <t>Capacitor 0.1 µF</t>
        </is>
      </c>
      <c r="D32" s="8" t="inlineStr">
        <is>
          <t>Ceramic, 50 V</t>
        </is>
      </c>
      <c r="E32" s="8" t="inlineStr">
        <is>
          <t>—</t>
        </is>
      </c>
      <c r="F32" s="6" t="inlineStr">
        <is>
          <t>Sch. 3, 4, 5</t>
        </is>
      </c>
      <c r="G32" s="8" t="inlineStr">
        <is>
          <t>ADC input filter (A0-A3)</t>
        </is>
      </c>
      <c r="H32" s="9" t="n"/>
      <c r="I32" s="10">
        <f>B32*H32</f>
        <v/>
      </c>
      <c r="J32" s="11" t="n"/>
      <c r="K32" s="12" t="n"/>
    </row>
    <row r="33">
      <c r="A33" s="6" t="n">
        <v>23</v>
      </c>
      <c r="B33" s="7" t="n">
        <v>2</v>
      </c>
      <c r="C33" s="8" t="inlineStr">
        <is>
          <t>Status LED + 470 Ω (optional)</t>
        </is>
      </c>
      <c r="D33" s="8" t="inlineStr">
        <is>
          <t>3 mm yellow LED, 1/4 W resistor</t>
        </is>
      </c>
      <c r="E33" s="8" t="inlineStr">
        <is>
          <t>—</t>
        </is>
      </c>
      <c r="F33" s="6" t="inlineStr">
        <is>
          <t>Sch. 5 note</t>
        </is>
      </c>
      <c r="G33" s="8" t="inlineStr">
        <is>
          <t>GPIO23 / GPIO24 filter/temp LEDs: on = active, blink = wire broken</t>
        </is>
      </c>
      <c r="H33" s="9" t="n"/>
      <c r="I33" s="10">
        <f>B33*H33</f>
        <v/>
      </c>
      <c r="J33" s="11" t="n"/>
      <c r="K33" s="12" t="n"/>
    </row>
    <row r="34">
      <c r="G34" s="13" t="inlineStr">
        <is>
          <t>Subtotal — Sensor Interface</t>
        </is>
      </c>
      <c r="I34" s="14">
        <f>SUM(I22:I33)</f>
        <v/>
      </c>
    </row>
    <row r="35">
      <c r="A35" s="5" t="inlineStr">
        <is>
          <t>SENSORS</t>
        </is>
      </c>
      <c r="B35" s="5" t="n"/>
      <c r="C35" s="5" t="n"/>
      <c r="D35" s="5" t="n"/>
      <c r="E35" s="5" t="n"/>
      <c r="F35" s="5" t="n"/>
      <c r="G35" s="5" t="n"/>
      <c r="H35" s="5" t="n"/>
      <c r="I35" s="5" t="n"/>
      <c r="J35" s="5" t="n"/>
      <c r="K35" s="5" t="n"/>
    </row>
    <row r="36">
      <c r="A36" s="6" t="n">
        <v>24</v>
      </c>
      <c r="B36" s="7" t="n">
        <v>0</v>
      </c>
      <c r="C36" s="8" t="inlineStr">
        <is>
          <t>Hall-effect sensor (OPTIONAL)</t>
        </is>
      </c>
      <c r="D36" s="8" t="inlineStr">
        <is>
          <t>NPN, normally open, 6–36 V, M12</t>
        </is>
      </c>
      <c r="E36" s="8" t="inlineStr">
        <is>
          <t>NJK-5002C</t>
        </is>
      </c>
      <c r="F36" s="6" t="inlineStr">
        <is>
          <t>Sch. 5</t>
        </is>
      </c>
      <c r="G36" s="8" t="inlineStr">
        <is>
          <t>Not needed: this machine reads RPM from the ignition coil (board COIL input, rev 2.2+). Only for the Hall option</t>
        </is>
      </c>
      <c r="H36" s="9" t="n"/>
      <c r="I36" s="10">
        <f>B36*H36</f>
        <v/>
      </c>
      <c r="J36" s="11" t="n"/>
      <c r="K36" s="12" t="n"/>
    </row>
    <row r="37">
      <c r="A37" s="6" t="n">
        <v>25</v>
      </c>
      <c r="B37" s="7" t="n">
        <v>0</v>
      </c>
      <c r="C37" s="8" t="inlineStr">
        <is>
          <t>Magnet (OPTIONAL)</t>
        </is>
      </c>
      <c r="D37" s="8" t="inlineStr">
        <is>
          <t>Neodymium, ~10 mm, + high-temp epoxy</t>
        </is>
      </c>
      <c r="E37" s="8" t="inlineStr">
        <is>
          <t>—</t>
        </is>
      </c>
      <c r="F37" s="6" t="inlineStr">
        <is>
          <t>Sch. 5</t>
        </is>
      </c>
      <c r="G37" s="8" t="inlineStr">
        <is>
          <t>Hall option only: on crank pulley; pulses_per_rev = 1</t>
        </is>
      </c>
      <c r="H37" s="9" t="n"/>
      <c r="I37" s="10">
        <f>B37*H37</f>
        <v/>
      </c>
      <c r="J37" s="11" t="n"/>
      <c r="K37" s="12" t="n"/>
    </row>
    <row r="38">
      <c r="A38" s="6" t="n">
        <v>26</v>
      </c>
      <c r="B38" s="7" t="n">
        <v>0</v>
      </c>
      <c r="C38" s="8" t="inlineStr">
        <is>
          <t>Sensor bracket (OPTIONAL)</t>
        </is>
      </c>
      <c r="D38" s="8" t="inlineStr">
        <is>
          <t>Steel, holds Hall sensor 3–8 mm from magnet</t>
        </is>
      </c>
      <c r="E38" s="8" t="inlineStr">
        <is>
          <t>—</t>
        </is>
      </c>
      <c r="F38" s="6" t="inlineStr">
        <is>
          <t>Sch. 5</t>
        </is>
      </c>
      <c r="G38" s="8" t="inlineStr">
        <is>
          <t>Hall option only</t>
        </is>
      </c>
      <c r="H38" s="9" t="n"/>
      <c r="I38" s="10">
        <f>B38*H38</f>
        <v/>
      </c>
      <c r="J38" s="11" t="n"/>
      <c r="K38" s="12" t="n"/>
    </row>
    <row r="39">
      <c r="A39" s="6" t="n">
        <v>27</v>
      </c>
      <c r="B39" s="7" t="n">
        <v>2</v>
      </c>
      <c r="C39" s="8" t="inlineStr">
        <is>
          <t>End-of-line resistor 4.7 kΩ</t>
        </is>
      </c>
      <c r="D39" s="8" t="inlineStr">
        <is>
          <t>1/2 W metal film, 1 %, 155 °C rated</t>
        </is>
      </c>
      <c r="E39" s="8" t="inlineStr">
        <is>
          <t>—</t>
        </is>
      </c>
      <c r="F39" s="6" t="inlineStr">
        <is>
          <t>Sch. 5</t>
        </is>
      </c>
      <c r="G39" s="8" t="inlineStr">
        <is>
          <t>One across each filter / temp switch, AT the switch. Seal in adhesive-lined heat-shrink.</t>
        </is>
      </c>
      <c r="H39" s="9" t="n"/>
      <c r="I39" s="10">
        <f>B39*H39</f>
        <v/>
      </c>
      <c r="J39" s="11" t="n"/>
      <c r="K39" s="12" t="n"/>
    </row>
    <row r="40">
      <c r="G40" s="13" t="inlineStr">
        <is>
          <t>Subtotal — Sensors</t>
        </is>
      </c>
      <c r="I40" s="14">
        <f>SUM(I36:I39)</f>
        <v/>
      </c>
    </row>
    <row r="41">
      <c r="A41" s="5" t="inlineStr">
        <is>
          <t>ALARM + SOUND</t>
        </is>
      </c>
      <c r="B41" s="5" t="n"/>
      <c r="C41" s="5" t="n"/>
      <c r="D41" s="5" t="n"/>
      <c r="E41" s="5" t="n"/>
      <c r="F41" s="5" t="n"/>
      <c r="G41" s="5" t="n"/>
      <c r="H41" s="5" t="n"/>
      <c r="I41" s="5" t="n"/>
      <c r="J41" s="5" t="n"/>
      <c r="K41" s="5" t="n"/>
    </row>
    <row r="42">
      <c r="A42" s="6" t="n">
        <v>28</v>
      </c>
      <c r="B42" s="7" t="n">
        <v>1</v>
      </c>
      <c r="C42" s="8" t="inlineStr">
        <is>
          <t>Piezo alarm</t>
        </is>
      </c>
      <c r="D42" s="8" t="inlineStr">
        <is>
          <t>12 V, 100–110 dB, IP65+, panel mount</t>
        </is>
      </c>
      <c r="E42" s="8" t="inlineStr">
        <is>
          <t>—</t>
        </is>
      </c>
      <c r="F42" s="6" t="inlineStr">
        <is>
          <t>Sch. 6</t>
        </is>
      </c>
      <c r="G42" s="8" t="inlineStr">
        <is>
          <t>The horn: mount aimed at the operator</t>
        </is>
      </c>
      <c r="H42" s="9" t="n"/>
      <c r="I42" s="10">
        <f>B42*H42</f>
        <v/>
      </c>
      <c r="J42" s="11" t="n"/>
      <c r="K42" s="12" t="n"/>
    </row>
    <row r="43">
      <c r="A43" s="6" t="n">
        <v>29</v>
      </c>
      <c r="B43" s="7" t="n">
        <v>1</v>
      </c>
      <c r="C43" s="8" t="inlineStr">
        <is>
          <t>N-MOSFET, logic-level</t>
        </is>
      </c>
      <c r="D43" s="8" t="inlineStr">
        <is>
          <t>IRLZ44N (TO-220) or AO3400 (SMD)</t>
        </is>
      </c>
      <c r="E43" s="8" t="inlineStr">
        <is>
          <t>IRLZ44N</t>
        </is>
      </c>
      <c r="F43" s="6" t="inlineStr">
        <is>
          <t>Sch. 6</t>
        </is>
      </c>
      <c r="G43" s="8" t="inlineStr">
        <is>
          <t>Or a 1-ch opto relay module instead</t>
        </is>
      </c>
      <c r="H43" s="9" t="n"/>
      <c r="I43" s="10">
        <f>B43*H43</f>
        <v/>
      </c>
      <c r="J43" s="11" t="n"/>
      <c r="K43" s="12" t="n"/>
    </row>
    <row r="44">
      <c r="A44" s="6" t="n">
        <v>30</v>
      </c>
      <c r="B44" s="7" t="n">
        <v>1</v>
      </c>
      <c r="C44" s="8" t="inlineStr">
        <is>
          <t>Resistor 100 Ω</t>
        </is>
      </c>
      <c r="D44" s="8" t="inlineStr">
        <is>
          <t>1/4 W</t>
        </is>
      </c>
      <c r="E44" s="8" t="inlineStr">
        <is>
          <t>—</t>
        </is>
      </c>
      <c r="F44" s="6" t="inlineStr">
        <is>
          <t>Sch. 6</t>
        </is>
      </c>
      <c r="G44" s="8" t="inlineStr">
        <is>
          <t>MOSFET gate resistor</t>
        </is>
      </c>
      <c r="H44" s="9" t="n"/>
      <c r="I44" s="10">
        <f>B44*H44</f>
        <v/>
      </c>
      <c r="J44" s="11" t="n"/>
      <c r="K44" s="12" t="n"/>
    </row>
    <row r="45">
      <c r="A45" s="6" t="n">
        <v>31</v>
      </c>
      <c r="B45" s="7" t="n">
        <v>1</v>
      </c>
      <c r="C45" s="8" t="inlineStr">
        <is>
          <t>Inline fuse holder + fuse</t>
        </is>
      </c>
      <c r="D45" s="8" t="inlineStr">
        <is>
          <t>Blade type, 1 A</t>
        </is>
      </c>
      <c r="E45" s="8" t="inlineStr">
        <is>
          <t>—</t>
        </is>
      </c>
      <c r="F45" s="6" t="inlineStr">
        <is>
          <t>Sch. 6</t>
        </is>
      </c>
      <c r="G45" s="8" t="inlineStr">
        <is>
          <t>Horn circuit</t>
        </is>
      </c>
      <c r="H45" s="9" t="n"/>
      <c r="I45" s="10">
        <f>B45*H45</f>
        <v/>
      </c>
      <c r="J45" s="11" t="n"/>
      <c r="K45" s="12" t="n"/>
    </row>
    <row r="46">
      <c r="A46" s="6" t="n">
        <v>32</v>
      </c>
      <c r="B46" s="7" t="n">
        <v>1</v>
      </c>
      <c r="C46" s="8" t="inlineStr">
        <is>
          <t>Push button</t>
        </is>
      </c>
      <c r="D46" s="8" t="inlineStr">
        <is>
          <t>Momentary, panel mount, IP67</t>
        </is>
      </c>
      <c r="E46" s="8" t="inlineStr">
        <is>
          <t>—</t>
        </is>
      </c>
      <c r="F46" s="6" t="inlineStr">
        <is>
          <t>Sch. 6</t>
        </is>
      </c>
      <c r="G46" s="8" t="inlineStr">
        <is>
          <t>Silence button, GPIO 5. Glove-friendly size</t>
        </is>
      </c>
      <c r="H46" s="9" t="n"/>
      <c r="I46" s="10">
        <f>B46*H46</f>
        <v/>
      </c>
      <c r="J46" s="11" t="n"/>
      <c r="K46" s="12" t="n"/>
    </row>
    <row r="47">
      <c r="A47" s="6" t="n">
        <v>33</v>
      </c>
      <c r="B47" s="7" t="n">
        <v>1</v>
      </c>
      <c r="C47" s="8" t="inlineStr">
        <is>
          <t>I2S amplifier board</t>
        </is>
      </c>
      <c r="D47" s="8" t="inlineStr">
        <is>
          <t>MAX98357A, 3 W, mono (or the stereo board)</t>
        </is>
      </c>
      <c r="E47" s="8" t="inlineStr">
        <is>
          <t>Adafruit 3006 (mono, J9) or 6513 (stereo, J16)</t>
        </is>
      </c>
      <c r="F47" s="6" t="inlineStr">
        <is>
          <t>Sch. 6</t>
        </is>
      </c>
      <c r="G47" s="8" t="inlineStr">
        <is>
          <t>Fit one only. dtoverlay=max98357a</t>
        </is>
      </c>
      <c r="H47" s="9" t="n"/>
      <c r="I47" s="10">
        <f>B47*H47</f>
        <v/>
      </c>
      <c r="J47" s="11" t="n"/>
      <c r="K47" s="12" t="n"/>
    </row>
    <row r="48">
      <c r="A48" s="6" t="n">
        <v>34</v>
      </c>
      <c r="B48" s="7" t="n">
        <v>4</v>
      </c>
      <c r="C48" s="8" t="inlineStr">
        <is>
          <t>M2.5 standoff + 8 screws</t>
        </is>
      </c>
      <c r="D48" s="8" t="inlineStr">
        <is>
          <t>female-female, ~11 mm, for the amp board</t>
        </is>
      </c>
      <c r="E48" s="8" t="inlineStr">
        <is>
          <t>—</t>
        </is>
      </c>
      <c r="F48" s="6" t="inlineStr">
        <is>
          <t>Board README</t>
        </is>
      </c>
      <c r="G48" s="8" t="inlineStr">
        <is>
          <t>Mono uses 2 (H9-H10), stereo 4 (H11-H14)</t>
        </is>
      </c>
      <c r="H48" s="9" t="n"/>
      <c r="I48" s="10">
        <f>B48*H48</f>
        <v/>
      </c>
      <c r="J48" s="11" t="n"/>
      <c r="K48" s="12" t="n"/>
    </row>
    <row r="49">
      <c r="A49" s="6" t="n">
        <v>35</v>
      </c>
      <c r="B49" s="7" t="n">
        <v>1</v>
      </c>
      <c r="C49" s="8" t="inlineStr">
        <is>
          <t>Speaker</t>
        </is>
      </c>
      <c r="D49" s="8" t="inlineStr">
        <is>
          <t>4 Ω, 3 W, weather-resistant</t>
        </is>
      </c>
      <c r="E49" s="8" t="inlineStr">
        <is>
          <t>—</t>
        </is>
      </c>
      <c r="F49" s="6" t="inlineStr">
        <is>
          <t>Sch. 6</t>
        </is>
      </c>
      <c r="G49" s="8" t="inlineStr">
        <is>
          <t>Startup chime + in-cab alert tones</t>
        </is>
      </c>
      <c r="H49" s="9" t="n"/>
      <c r="I49" s="10">
        <f>B49*H49</f>
        <v/>
      </c>
      <c r="J49" s="11" t="n"/>
      <c r="K49" s="12" t="n"/>
    </row>
    <row r="50">
      <c r="A50" s="6" t="n">
        <v>36</v>
      </c>
      <c r="B50" s="7" t="n">
        <v>1</v>
      </c>
      <c r="C50" s="8" t="inlineStr">
        <is>
          <t>Rectifier diode (optional)</t>
        </is>
      </c>
      <c r="D50" s="8" t="inlineStr">
        <is>
          <t>1N4007</t>
        </is>
      </c>
      <c r="E50" s="8" t="inlineStr">
        <is>
          <t>1N4007</t>
        </is>
      </c>
      <c r="F50" s="6" t="inlineStr">
        <is>
          <t>Sch. 6</t>
        </is>
      </c>
      <c r="G50" s="8" t="inlineStr">
        <is>
          <t>Only with a coil horn or relay</t>
        </is>
      </c>
      <c r="H50" s="9" t="n"/>
      <c r="I50" s="10">
        <f>B50*H50</f>
        <v/>
      </c>
      <c r="J50" s="11" t="n"/>
      <c r="K50" s="12" t="n"/>
    </row>
    <row r="51">
      <c r="G51" s="13" t="inlineStr">
        <is>
          <t>Subtotal — Alarm + Sound</t>
        </is>
      </c>
      <c r="I51" s="14">
        <f>SUM(I42:I50)</f>
        <v/>
      </c>
    </row>
    <row r="52">
      <c r="A52" s="5" t="inlineStr">
        <is>
          <t>BREAKOUT BOARD rev 2.4 (replaces the perfboard; key-off shutdown, light sensing, coil tach in its own HV corner)</t>
        </is>
      </c>
      <c r="B52" s="5" t="n"/>
      <c r="C52" s="5" t="n"/>
      <c r="D52" s="5" t="n"/>
      <c r="E52" s="5" t="n"/>
      <c r="F52" s="5" t="n"/>
      <c r="G52" s="5" t="n"/>
      <c r="H52" s="5" t="n"/>
      <c r="I52" s="5" t="n"/>
      <c r="J52" s="5" t="n"/>
      <c r="K52" s="5" t="n"/>
    </row>
    <row r="53">
      <c r="A53" s="6" t="n">
        <v>37</v>
      </c>
      <c r="B53" s="7" t="n">
        <v>1</v>
      </c>
      <c r="C53" s="8" t="inlineStr">
        <is>
          <t>Bare PCB</t>
        </is>
      </c>
      <c r="D53" s="8" t="inlineStr">
        <is>
          <t>162 × 159 mm (rev 2.9), 2 layers, 1.6 mm, 1 oz</t>
        </is>
      </c>
      <c r="E53" s="8" t="inlineStr">
        <is>
          <t>breakout-board/fab gerbers zip</t>
        </is>
      </c>
      <c r="F53" s="6" t="inlineStr">
        <is>
          <t>Board README</t>
        </is>
      </c>
      <c r="G53" s="8" t="inlineStr">
        <is>
          <t>Most board makers sell a minimum of 5. Has the Project Moon Pi logo on top</t>
        </is>
      </c>
      <c r="H53" s="9" t="n"/>
      <c r="I53" s="10">
        <f>B53*H53</f>
        <v/>
      </c>
      <c r="J53" s="11" t="n"/>
      <c r="K53" s="12" t="n"/>
    </row>
    <row r="54">
      <c r="A54" s="6" t="n">
        <v>38</v>
      </c>
      <c r="B54" s="7" t="n">
        <v>1</v>
      </c>
      <c r="C54" s="8" t="inlineStr">
        <is>
          <t>Board components kit</t>
        </is>
      </c>
      <c r="D54" s="8" t="inlineStr">
        <is>
          <t>Everything in breakout-board/fab/board-bom.csv</t>
        </is>
      </c>
      <c r="E54" s="8" t="inlineStr">
        <is>
          <t>—</t>
        </is>
      </c>
      <c r="F54" s="6" t="inlineStr">
        <is>
          <t>Board README</t>
        </is>
      </c>
      <c r="G54" s="8" t="inlineStr">
        <is>
          <t>Includes the resistors, diodes, optos and MOSFET listed above, plus the power-hold parts (IRF4905, CD4060, BC547 ×2)</t>
        </is>
      </c>
      <c r="H54" s="9" t="n"/>
      <c r="I54" s="10">
        <f>B54*H54</f>
        <v/>
      </c>
      <c r="J54" s="11" t="n"/>
      <c r="K54" s="12" t="n"/>
    </row>
    <row r="55">
      <c r="A55" s="6" t="n">
        <v>39</v>
      </c>
      <c r="B55" s="7" t="n">
        <v>1</v>
      </c>
      <c r="C55" s="8" t="inlineStr">
        <is>
          <t>Pluggable terminal plugs</t>
        </is>
      </c>
      <c r="D55" s="8" t="inlineStr">
        <is>
          <t>5.08 mm: 5× 2-pin, 3× 3-pin, 1× 4-pin</t>
        </is>
      </c>
      <c r="E55" s="8" t="inlineStr">
        <is>
          <t>Phoenix MSTB 2,5/x-ST-5,08</t>
        </is>
      </c>
      <c r="F55" s="6" t="inlineStr">
        <is>
          <t>Board README</t>
        </is>
      </c>
      <c r="G55" s="8" t="inlineStr">
        <is>
          <t>Mate with the board's MSTBA headers</t>
        </is>
      </c>
      <c r="H55" s="9" t="n"/>
      <c r="I55" s="10">
        <f>B55*H55</f>
        <v/>
      </c>
      <c r="J55" s="11" t="n"/>
      <c r="K55" s="12" t="n"/>
    </row>
    <row r="56">
      <c r="A56" s="6" t="n">
        <v>40</v>
      </c>
      <c r="B56" s="7" t="n">
        <v>1</v>
      </c>
      <c r="C56" s="8" t="inlineStr">
        <is>
          <t>40-pin IDC ribbon cable</t>
        </is>
      </c>
      <c r="D56" s="8" t="inlineStr">
        <is>
          <t>Female–female, 15–30 cm</t>
        </is>
      </c>
      <c r="E56" s="8" t="inlineStr">
        <is>
          <t>—</t>
        </is>
      </c>
      <c r="F56" s="6" t="inlineStr">
        <is>
          <t>Board README</t>
        </is>
      </c>
      <c r="G56" s="8" t="inlineStr">
        <is>
          <t>Pi GPIO to board J1, pin 1 to pin 1</t>
        </is>
      </c>
      <c r="H56" s="9" t="n"/>
      <c r="I56" s="10">
        <f>B56*H56</f>
        <v/>
      </c>
      <c r="J56" s="11" t="n"/>
      <c r="K56" s="12" t="n"/>
    </row>
    <row r="57">
      <c r="A57" s="6" t="n">
        <v>41</v>
      </c>
      <c r="B57" s="7" t="n">
        <v>1</v>
      </c>
      <c r="C57" s="8" t="inlineStr">
        <is>
          <t>IC socket</t>
        </is>
      </c>
      <c r="D57" s="8" t="inlineStr">
        <is>
          <t>DIP-16, 7.62 mm</t>
        </is>
      </c>
      <c r="E57" s="8" t="inlineStr">
        <is>
          <t>—</t>
        </is>
      </c>
      <c r="F57" s="6" t="inlineStr">
        <is>
          <t>Board README</t>
        </is>
      </c>
      <c r="G57" s="8" t="inlineStr">
        <is>
          <t>Optional, for U6 (CD4060)</t>
        </is>
      </c>
      <c r="H57" s="9" t="n"/>
      <c r="I57" s="10">
        <f>B57*H57</f>
        <v/>
      </c>
      <c r="J57" s="11" t="n"/>
      <c r="K57" s="12" t="n"/>
    </row>
    <row r="58">
      <c r="A58" s="6" t="n">
        <v>42</v>
      </c>
      <c r="B58" s="7" t="n">
        <v>2</v>
      </c>
      <c r="C58" s="8" t="inlineStr">
        <is>
          <t>Jumper shunt</t>
        </is>
      </c>
      <c r="D58" s="8" t="inlineStr">
        <is>
          <t>2.54 mm</t>
        </is>
      </c>
      <c r="E58" s="8" t="inlineStr">
        <is>
          <t>—</t>
        </is>
      </c>
      <c r="F58" s="6" t="inlineStr">
        <is>
          <t>Board README</t>
        </is>
      </c>
      <c r="G58" s="8" t="inlineStr">
        <is>
          <t>JP1 / JP2 fuel mode</t>
        </is>
      </c>
      <c r="H58" s="9" t="n"/>
      <c r="I58" s="10">
        <f>B58*H58</f>
        <v/>
      </c>
      <c r="J58" s="11" t="n"/>
      <c r="K58" s="12" t="n"/>
    </row>
    <row r="59">
      <c r="G59" s="13" t="inlineStr">
        <is>
          <t>Subtotal — Breakout Board Rev 2.4</t>
        </is>
      </c>
      <c r="I59" s="14">
        <f>SUM(I53:I58)</f>
        <v/>
      </c>
    </row>
    <row r="60">
      <c r="A60" s="5" t="inlineStr">
        <is>
          <t>LIGHTS (feed + sensing): see docs/lights-wiring.jpg</t>
        </is>
      </c>
      <c r="B60" s="5" t="n"/>
      <c r="C60" s="5" t="n"/>
      <c r="D60" s="5" t="n"/>
      <c r="E60" s="5" t="n"/>
      <c r="F60" s="5" t="n"/>
      <c r="G60" s="5" t="n"/>
      <c r="H60" s="5" t="n"/>
      <c r="I60" s="5" t="n"/>
      <c r="J60" s="5" t="n"/>
      <c r="K60" s="5" t="n"/>
    </row>
    <row r="61">
      <c r="A61" s="6" t="n">
        <v>43</v>
      </c>
      <c r="B61" s="7" t="n">
        <v>1</v>
      </c>
      <c r="C61" s="8" t="inlineStr">
        <is>
          <t>Automotive relay</t>
        </is>
      </c>
      <c r="D61" s="8" t="inlineStr">
        <is>
          <t>12 V mini ISO, 4-pin, normally open, 30/40 A, WITH suppression diode</t>
        </is>
      </c>
      <c r="E61" s="8" t="inlineStr">
        <is>
          <t>—</t>
        </is>
      </c>
      <c r="F61" s="6" t="inlineStr">
        <is>
          <t>docs/lights-wiring.jpg</t>
        </is>
      </c>
      <c r="G61" s="8" t="inlineStr">
        <is>
          <t>Key ON/RUN drives the coil (86 = +, 85 = ground). Feeds the light switches</t>
        </is>
      </c>
      <c r="H61" s="9" t="n"/>
      <c r="I61" s="10">
        <f>B61*H61</f>
        <v/>
      </c>
      <c r="J61" s="11" t="n"/>
      <c r="K61" s="12" t="n"/>
    </row>
    <row r="62">
      <c r="A62" s="6" t="n">
        <v>44</v>
      </c>
      <c r="B62" s="7" t="n">
        <v>1</v>
      </c>
      <c r="C62" s="8" t="inlineStr">
        <is>
          <t>Relay socket / pigtail</t>
        </is>
      </c>
      <c r="D62" s="8" t="inlineStr">
        <is>
          <t>Weatherproof, for a 4-pin mini ISO relay</t>
        </is>
      </c>
      <c r="E62" s="8" t="inlineStr">
        <is>
          <t>—</t>
        </is>
      </c>
      <c r="F62" s="6" t="inlineStr">
        <is>
          <t>docs/lights-wiring.jpg</t>
        </is>
      </c>
      <c r="G62" s="8" t="inlineStr">
        <is>
          <t>Or use a sealed fuse + relay box instead of this, the relay fuse and the two branch fuses</t>
        </is>
      </c>
      <c r="H62" s="9" t="n"/>
      <c r="I62" s="10">
        <f>B62*H62</f>
        <v/>
      </c>
      <c r="J62" s="11" t="n"/>
      <c r="K62" s="12" t="n"/>
    </row>
    <row r="63">
      <c r="A63" s="6" t="n">
        <v>45</v>
      </c>
      <c r="B63" s="7" t="n">
        <v>1</v>
      </c>
      <c r="C63" s="8" t="inlineStr">
        <is>
          <t>Inline fuse holder + fuse</t>
        </is>
      </c>
      <c r="D63" s="8" t="inlineStr">
        <is>
          <t>Blade, 15 A (size for all the lights)</t>
        </is>
      </c>
      <c r="E63" s="8" t="inlineStr">
        <is>
          <t>—</t>
        </is>
      </c>
      <c r="F63" s="6" t="inlineStr">
        <is>
          <t>docs/lights-wiring.jpg</t>
        </is>
      </c>
      <c r="G63" s="8" t="inlineStr">
        <is>
          <t>Battery + to relay 30, within 18 in of the battery</t>
        </is>
      </c>
      <c r="H63" s="9" t="n"/>
      <c r="I63" s="10">
        <f>B63*H63</f>
        <v/>
      </c>
      <c r="J63" s="11" t="n"/>
      <c r="K63" s="12" t="n"/>
    </row>
    <row r="64">
      <c r="A64" s="6" t="n">
        <v>46</v>
      </c>
      <c r="B64" s="7" t="n">
        <v>1</v>
      </c>
      <c r="C64" s="8" t="inlineStr">
        <is>
          <t>Inline fuse holder + fuse</t>
        </is>
      </c>
      <c r="D64" s="8" t="inlineStr">
        <is>
          <t>Blade, 3 A</t>
        </is>
      </c>
      <c r="E64" s="8" t="inlineStr">
        <is>
          <t>—</t>
        </is>
      </c>
      <c r="F64" s="6" t="inlineStr">
        <is>
          <t>docs/lights-wiring.jpg</t>
        </is>
      </c>
      <c r="G64" s="8" t="inlineStr">
        <is>
          <t>Key ON/RUN to relay 86 (coil)</t>
        </is>
      </c>
      <c r="H64" s="9" t="n"/>
      <c r="I64" s="10">
        <f>B64*H64</f>
        <v/>
      </c>
      <c r="J64" s="11" t="n"/>
      <c r="K64" s="12" t="n"/>
    </row>
    <row r="65">
      <c r="A65" s="6" t="n">
        <v>47</v>
      </c>
      <c r="B65" s="7" t="n">
        <v>2</v>
      </c>
      <c r="C65" s="8" t="inlineStr">
        <is>
          <t>Inline fuse holder + fuse</t>
        </is>
      </c>
      <c r="D65" s="8" t="inlineStr">
        <is>
          <t>Blade, FRONT 10 A and REAR/WORK 7.5 A (size to your lights)</t>
        </is>
      </c>
      <c r="E65" s="8" t="inlineStr">
        <is>
          <t>—</t>
        </is>
      </c>
      <c r="F65" s="6" t="inlineStr">
        <is>
          <t>docs/lights-wiring.jpg</t>
        </is>
      </c>
      <c r="G65" s="8" t="inlineStr">
        <is>
          <t>Relay 87 to each switch. Fuse = watts ÷ 12 × 1.25</t>
        </is>
      </c>
      <c r="H65" s="9" t="n"/>
      <c r="I65" s="10">
        <f>B65*H65</f>
        <v/>
      </c>
      <c r="J65" s="11" t="n"/>
      <c r="K65" s="12" t="n"/>
    </row>
    <row r="66">
      <c r="A66" s="6" t="n">
        <v>48</v>
      </c>
      <c r="B66" s="7" t="n">
        <v>3</v>
      </c>
      <c r="C66" s="8" t="inlineStr">
        <is>
          <t>Inline fuse holder + fuse</t>
        </is>
      </c>
      <c r="D66" s="8" t="inlineStr">
        <is>
          <t>Blade, 1 A</t>
        </is>
      </c>
      <c r="E66" s="8" t="inlineStr">
        <is>
          <t>—</t>
        </is>
      </c>
      <c r="F66" s="6" t="inlineStr">
        <is>
          <t>docs/lights-wiring.jpg</t>
        </is>
      </c>
      <c r="G66" s="8" t="inlineStr">
        <is>
          <t>One per sense wire (front, rear, work), at the tap on the lamp side of the switch</t>
        </is>
      </c>
      <c r="H66" s="9" t="n"/>
      <c r="I66" s="10">
        <f>B66*H66</f>
        <v/>
      </c>
      <c r="J66" s="11" t="n"/>
      <c r="K66" s="12" t="n"/>
    </row>
    <row r="67">
      <c r="A67" s="6" t="n">
        <v>49</v>
      </c>
      <c r="B67" s="7" t="n">
        <v>2</v>
      </c>
      <c r="C67" s="8" t="inlineStr">
        <is>
          <t>Light switch</t>
        </is>
      </c>
      <c r="D67" s="8" t="inlineStr">
        <is>
          <t>≥15 A at 12 V DC, sealed: 1 × SPST on/off, 1 × SPDT ON-OFF-ON</t>
        </is>
      </c>
      <c r="E67" s="8" t="inlineStr">
        <is>
          <t>—</t>
        </is>
      </c>
      <c r="F67" s="6" t="inlineStr">
        <is>
          <t>docs/lights-wiring.jpg</t>
        </is>
      </c>
      <c r="G67" s="8" t="inlineStr">
        <is>
          <t>Front on/off; back up = rear, middle = off, down = work</t>
        </is>
      </c>
      <c r="H67" s="9" t="n"/>
      <c r="I67" s="10">
        <f>B67*H67</f>
        <v/>
      </c>
      <c r="J67" s="11" t="n"/>
      <c r="K67" s="12" t="n"/>
    </row>
    <row r="68">
      <c r="G68" s="13" t="inlineStr">
        <is>
          <t>Subtotal — Lights</t>
        </is>
      </c>
      <c r="I68" s="14">
        <f>SUM(I61:I67)</f>
        <v/>
      </c>
    </row>
    <row r="69">
      <c r="A69" s="5" t="inlineStr">
        <is>
          <t>MACHINE ANGLE (roll / pitch): README, Machine angle</t>
        </is>
      </c>
      <c r="B69" s="5" t="n"/>
      <c r="C69" s="5" t="n"/>
      <c r="D69" s="5" t="n"/>
      <c r="E69" s="5" t="n"/>
      <c r="F69" s="5" t="n"/>
      <c r="G69" s="5" t="n"/>
      <c r="H69" s="5" t="n"/>
      <c r="I69" s="5" t="n"/>
      <c r="J69" s="5" t="n"/>
      <c r="K69" s="5" t="n"/>
    </row>
    <row r="70">
      <c r="A70" s="6" t="n">
        <v>50</v>
      </c>
      <c r="B70" s="7" t="n">
        <v>1</v>
      </c>
      <c r="C70" s="8" t="inlineStr">
        <is>
          <t>Accelerometer + gyro board</t>
        </is>
      </c>
      <c r="D70" s="8" t="inlineStr">
        <is>
          <t>LSM6DSOX 6-DoF, I2C, 3.3 V (or LSM6DS3TR-C, Adafruit 4503)</t>
        </is>
      </c>
      <c r="E70" s="8" t="inlineStr">
        <is>
          <t>Adafruit 4438</t>
        </is>
      </c>
      <c r="F70" s="6" t="inlineStr">
        <is>
          <t>README: Machine angle</t>
        </is>
      </c>
      <c r="G70" s="8" t="inlineStr">
        <is>
          <t>Mount rigidly to the frame, flat, X arrow forward. I2C address 0x6A</t>
        </is>
      </c>
      <c r="H70" s="9" t="n"/>
      <c r="I70" s="10">
        <f>B70*H70</f>
        <v/>
      </c>
      <c r="J70" s="11" t="n"/>
      <c r="K70" s="12" t="n"/>
    </row>
    <row r="71">
      <c r="A71" s="6" t="n">
        <v>51</v>
      </c>
      <c r="B71" s="7" t="n">
        <v>1</v>
      </c>
      <c r="C71" s="8" t="inlineStr">
        <is>
          <t>Micro-Fit 3.0 receptacle housing</t>
        </is>
      </c>
      <c r="D71" s="8" t="inlineStr">
        <is>
          <t>4-position, single row, latching</t>
        </is>
      </c>
      <c r="E71" s="8" t="inlineStr">
        <is>
          <t>Molex 43645-0400</t>
        </is>
      </c>
      <c r="F71" s="6" t="inlineStr">
        <is>
          <t>Board README: TILT</t>
        </is>
      </c>
      <c r="G71" s="8" t="inlineStr">
        <is>
          <t>Plugs into the board's TILT header J13 (43650-0415)</t>
        </is>
      </c>
      <c r="H71" s="9" t="n"/>
      <c r="I71" s="10">
        <f>B71*H71</f>
        <v/>
      </c>
      <c r="J71" s="11" t="n"/>
      <c r="K71" s="12" t="n"/>
    </row>
    <row r="72">
      <c r="A72" s="6" t="n">
        <v>52</v>
      </c>
      <c r="B72" s="7" t="n">
        <v>4</v>
      </c>
      <c r="C72" s="8" t="inlineStr">
        <is>
          <t>Micro-Fit 3.0 crimp pins</t>
        </is>
      </c>
      <c r="D72" s="8" t="inlineStr">
        <is>
          <t>Female, 20-24 AWG</t>
        </is>
      </c>
      <c r="E72" s="8" t="inlineStr">
        <is>
          <t>Molex 43030-0007</t>
        </is>
      </c>
      <c r="F72" s="6" t="inlineStr">
        <is>
          <t>Board README: TILT</t>
        </is>
      </c>
      <c r="G72" s="8" t="inlineStr">
        <is>
          <t>Crimp tool for Micro-Fit, or buy pre-crimped Micro-Fit leads</t>
        </is>
      </c>
      <c r="H72" s="9" t="n"/>
      <c r="I72" s="10">
        <f>B72*H72</f>
        <v/>
      </c>
      <c r="J72" s="11" t="n"/>
      <c r="K72" s="12" t="n"/>
    </row>
    <row r="73">
      <c r="A73" s="6" t="n">
        <v>53</v>
      </c>
      <c r="B73" s="7" t="n">
        <v>1</v>
      </c>
      <c r="C73" s="8" t="inlineStr">
        <is>
          <t>Sensor cable</t>
        </is>
      </c>
      <c r="D73" s="8" t="inlineStr">
        <is>
          <t>22-24 AWG, 4-core, shielded if possible, under ~30-50 cm</t>
        </is>
      </c>
      <c r="E73" s="8" t="inlineStr">
        <is>
          <t>—</t>
        </is>
      </c>
      <c r="F73" s="6" t="inlineStr">
        <is>
          <t>README: Machine angle</t>
        </is>
      </c>
      <c r="G73" s="8" t="inlineStr">
        <is>
          <t>Your 14/16 AWG harness wire won't fit the Micro-Fit pins or the sensor board. Solder this end into the sensor board; shield to GND at the board end only</t>
        </is>
      </c>
      <c r="H73" s="9" t="n"/>
      <c r="I73" s="10">
        <f>B73*H73</f>
        <v/>
      </c>
      <c r="J73" s="11" t="n"/>
      <c r="K73" s="12" t="n"/>
    </row>
    <row r="74">
      <c r="G74" s="13" t="inlineStr">
        <is>
          <t>Subtotal — Machine Angle</t>
        </is>
      </c>
      <c r="I74" s="14">
        <f>SUM(I70:I73)</f>
        <v/>
      </c>
    </row>
    <row r="75">
      <c r="A75" s="5" t="inlineStr">
        <is>
          <t>TEMPERATURE: README, Temperatures</t>
        </is>
      </c>
      <c r="B75" s="5" t="n"/>
      <c r="C75" s="5" t="n"/>
      <c r="D75" s="5" t="n"/>
      <c r="E75" s="5" t="n"/>
      <c r="F75" s="5" t="n"/>
      <c r="G75" s="5" t="n"/>
      <c r="H75" s="5" t="n"/>
      <c r="I75" s="5" t="n"/>
      <c r="J75" s="5" t="n"/>
      <c r="K75" s="5" t="n"/>
    </row>
    <row r="76">
      <c r="A76" s="6" t="n">
        <v>54</v>
      </c>
      <c r="B76" s="7" t="n">
        <v>2</v>
      </c>
      <c r="C76" s="8" t="inlineStr">
        <is>
          <t>Waterproof temperature probe</t>
        </is>
      </c>
      <c r="D76" s="8" t="inlineStr">
        <is>
          <t>DS18B20 in a stainless tip, 3-wire cable (red 3V3, black GND, yellow/white data)</t>
        </is>
      </c>
      <c r="E76" s="8" t="inlineStr">
        <is>
          <t>—</t>
        </is>
      </c>
      <c r="F76" s="6" t="inlineStr">
        <is>
          <t>README: Temperatures</t>
        </is>
      </c>
      <c r="G76" s="8" t="inlineStr">
        <is>
          <t>One for the cab, one for outside air (shade it from sun and engine heat). Optional: the board measures the box itself</t>
        </is>
      </c>
      <c r="H76" s="9" t="n"/>
      <c r="I76" s="10">
        <f>B76*H76</f>
        <v/>
      </c>
      <c r="J76" s="11" t="n"/>
      <c r="K76" s="12" t="n"/>
    </row>
    <row r="77">
      <c r="A77" s="6" t="n">
        <v>55</v>
      </c>
      <c r="B77" s="7" t="n">
        <v>1</v>
      </c>
      <c r="C77" s="8" t="inlineStr">
        <is>
          <t>Micro-Fit 3.0 receptacle housing</t>
        </is>
      </c>
      <c r="D77" s="8" t="inlineStr">
        <is>
          <t>3-position, single row, latching</t>
        </is>
      </c>
      <c r="E77" s="8" t="inlineStr">
        <is>
          <t>Molex 43645-0300</t>
        </is>
      </c>
      <c r="F77" s="6" t="inlineStr">
        <is>
          <t>Board README: TEMP PROBE</t>
        </is>
      </c>
      <c r="G77" s="8" t="inlineStr">
        <is>
          <t>Plugs into the board's TEMP PROBE header J14 (43650-0315)</t>
        </is>
      </c>
      <c r="H77" s="9" t="n"/>
      <c r="I77" s="10">
        <f>B77*H77</f>
        <v/>
      </c>
      <c r="J77" s="11" t="n"/>
      <c r="K77" s="12" t="n"/>
    </row>
    <row r="78">
      <c r="A78" s="6" t="n">
        <v>56</v>
      </c>
      <c r="B78" s="7" t="n">
        <v>3</v>
      </c>
      <c r="C78" s="8" t="inlineStr">
        <is>
          <t>Micro-Fit 3.0 crimp pins</t>
        </is>
      </c>
      <c r="D78" s="8" t="inlineStr">
        <is>
          <t>Female, 20-24 AWG</t>
        </is>
      </c>
      <c r="E78" s="8" t="inlineStr">
        <is>
          <t>Molex 43030-0007</t>
        </is>
      </c>
      <c r="F78" s="6" t="inlineStr">
        <is>
          <t>Board README: TEMP PROBE</t>
        </is>
      </c>
      <c r="G78" s="8" t="inlineStr">
        <is>
          <t>Two probes: join their 3 wires in the cable (each wire to the same pin)</t>
        </is>
      </c>
      <c r="H78" s="9" t="n"/>
      <c r="I78" s="10">
        <f>B78*H78</f>
        <v/>
      </c>
      <c r="J78" s="11" t="n"/>
      <c r="K78" s="12" t="n"/>
    </row>
    <row r="79">
      <c r="A79" s="6" t="n">
        <v>57</v>
      </c>
      <c r="B79" s="7" t="n">
        <v>1</v>
      </c>
      <c r="C79" s="8" t="inlineStr">
        <is>
          <t>Micro-Fit 3.0 receptacle housing</t>
        </is>
      </c>
      <c r="D79" s="8" t="inlineStr">
        <is>
          <t>8-position, single row, latching</t>
        </is>
      </c>
      <c r="E79" s="8" t="inlineStr">
        <is>
          <t>Molex 43645-0800</t>
        </is>
      </c>
      <c r="F79" s="6" t="inlineStr">
        <is>
          <t>Board README: BUTTON POD</t>
        </is>
      </c>
      <c r="G79" s="8" t="inlineStr">
        <is>
          <t>Plugs into the board's POD header J17 (43650-0815)</t>
        </is>
      </c>
      <c r="H79" s="9" t="n"/>
      <c r="I79" s="10">
        <f>B79*H79</f>
        <v/>
      </c>
      <c r="J79" s="11" t="n"/>
      <c r="K79" s="12" t="n"/>
    </row>
    <row r="80">
      <c r="A80" s="6" t="n">
        <v>58</v>
      </c>
      <c r="B80" s="7" t="n">
        <v>8</v>
      </c>
      <c r="C80" s="8" t="inlineStr">
        <is>
          <t>Micro-Fit 3.0 crimp pins</t>
        </is>
      </c>
      <c r="D80" s="8" t="inlineStr">
        <is>
          <t>Female, 20-24 AWG</t>
        </is>
      </c>
      <c r="E80" s="8" t="inlineStr">
        <is>
          <t>Molex 43030-0007</t>
        </is>
      </c>
      <c r="F80" s="6" t="inlineStr">
        <is>
          <t>Board README: BUTTON POD</t>
        </is>
      </c>
      <c r="G80" s="8" t="inlineStr">
        <is>
          <t>8-core cable, board to the pod (buttons, SILENCE, GND, fan)</t>
        </is>
      </c>
      <c r="H80" s="9" t="n"/>
      <c r="I80" s="10">
        <f>B80*H80</f>
        <v/>
      </c>
      <c r="J80" s="11" t="n"/>
      <c r="K80" s="12" t="n"/>
    </row>
    <row r="81">
      <c r="A81" s="6" t="n">
        <v>59</v>
      </c>
      <c r="B81" s="7" t="n">
        <v>4</v>
      </c>
      <c r="C81" s="8" t="inlineStr">
        <is>
          <t>Pushbutton head, black</t>
        </is>
      </c>
      <c r="D81" s="8" t="inlineStr">
        <is>
          <t>Eaton M22, 22 mm, momentary</t>
        </is>
      </c>
      <c r="E81" s="8" t="inlineStr">
        <is>
          <t>Eaton M22-D-S (flat-style head)</t>
        </is>
      </c>
      <c r="F81" s="6" t="inlineStr">
        <is>
          <t>enclosure/button-pod</t>
        </is>
      </c>
      <c r="G81" s="8" t="inlineStr">
        <is>
          <t>LEFT, RIGHT, OK, BACK</t>
        </is>
      </c>
      <c r="H81" s="9" t="n"/>
      <c r="I81" s="10">
        <f>B81*H81</f>
        <v/>
      </c>
      <c r="J81" s="11" t="n"/>
      <c r="K81" s="12" t="n"/>
    </row>
    <row r="82">
      <c r="A82" s="6" t="n">
        <v>60</v>
      </c>
      <c r="B82" s="7" t="n">
        <v>1</v>
      </c>
      <c r="C82" s="8" t="inlineStr">
        <is>
          <t>Pushbutton head, red mushroom</t>
        </is>
      </c>
      <c r="D82" s="8" t="inlineStr">
        <is>
          <t>Eaton M22, 22 mm, momentary</t>
        </is>
      </c>
      <c r="E82" s="8" t="inlineStr">
        <is>
          <t>Eaton M22-DP-R</t>
        </is>
      </c>
      <c r="F82" s="6" t="inlineStr">
        <is>
          <t>enclosure/button-pod</t>
        </is>
      </c>
      <c r="G82" s="8" t="inlineStr">
        <is>
          <t>ALARM SILENCE</t>
        </is>
      </c>
      <c r="H82" s="9" t="n"/>
      <c r="I82" s="10">
        <f>B82*H82</f>
        <v/>
      </c>
      <c r="J82" s="11" t="n"/>
      <c r="K82" s="12" t="n"/>
    </row>
    <row r="83">
      <c r="A83" s="6" t="n">
        <v>61</v>
      </c>
      <c r="B83" s="7" t="n">
        <v>5</v>
      </c>
      <c r="C83" s="8" t="inlineStr">
        <is>
          <t>Fixing adapter</t>
        </is>
      </c>
      <c r="D83" s="8" t="inlineStr">
        <is>
          <t>Eaton M22</t>
        </is>
      </c>
      <c r="E83" s="8" t="inlineStr">
        <is>
          <t>Eaton M22-A</t>
        </is>
      </c>
      <c r="F83" s="6" t="inlineStr">
        <is>
          <t>enclosure/button-pod</t>
        </is>
      </c>
      <c r="G83" s="8" t="inlineStr">
        <is>
          <t>One per button</t>
        </is>
      </c>
      <c r="H83" s="9" t="n"/>
      <c r="I83" s="10">
        <f>B83*H83</f>
        <v/>
      </c>
      <c r="J83" s="11" t="n"/>
      <c r="K83" s="12" t="n"/>
    </row>
    <row r="84">
      <c r="A84" s="6" t="n">
        <v>62</v>
      </c>
      <c r="B84" s="7" t="n">
        <v>5</v>
      </c>
      <c r="C84" s="8" t="inlineStr">
        <is>
          <t>Contact block, 1 NO</t>
        </is>
      </c>
      <c r="D84" s="8" t="inlineStr">
        <is>
          <t>Eaton M22</t>
        </is>
      </c>
      <c r="E84" s="8" t="inlineStr">
        <is>
          <t>Eaton M22-K10</t>
        </is>
      </c>
      <c r="F84" s="6" t="inlineStr">
        <is>
          <t>enclosure/button-pod</t>
        </is>
      </c>
      <c r="G84" s="8" t="inlineStr">
        <is>
          <t>One per button</t>
        </is>
      </c>
      <c r="H84" s="9" t="n"/>
      <c r="I84" s="10">
        <f>B84*H84</f>
        <v/>
      </c>
      <c r="J84" s="11" t="n"/>
      <c r="K84" s="12" t="n"/>
    </row>
    <row r="85">
      <c r="A85" s="6" t="n">
        <v>63</v>
      </c>
      <c r="B85" s="7" t="n">
        <v>1</v>
      </c>
      <c r="C85" s="8" t="inlineStr">
        <is>
          <t>Exhaust fan</t>
        </is>
      </c>
      <c r="D85" s="8" t="inlineStr">
        <is>
          <t>40 x 40 x 10 mm, 12 V</t>
        </is>
      </c>
      <c r="E85" s="8" t="inlineStr">
        <is>
          <t>any (two-wire)</t>
        </is>
      </c>
      <c r="F85" s="6" t="inlineStr">
        <is>
          <t>enclosure/button-pod</t>
        </is>
      </c>
      <c r="G85" s="8" t="inlineStr">
        <is>
          <t>Back wall of the pod; switched by the board (Q5)</t>
        </is>
      </c>
      <c r="H85" s="9" t="n"/>
      <c r="I85" s="10">
        <f>B85*H85</f>
        <v/>
      </c>
      <c r="J85" s="11" t="n"/>
      <c r="K85" s="12" t="n"/>
    </row>
    <row r="86">
      <c r="A86" s="6" t="n">
        <v>64</v>
      </c>
      <c r="B86" s="7" t="n">
        <v>1</v>
      </c>
      <c r="C86" s="8" t="inlineStr">
        <is>
          <t>Cable gland</t>
        </is>
      </c>
      <c r="D86" s="8" t="inlineStr">
        <is>
          <t>M20, for the HDMI cable</t>
        </is>
      </c>
      <c r="E86" s="8" t="inlineStr">
        <is>
          <t>nylon or nickel-brass</t>
        </is>
      </c>
      <c r="F86" s="6" t="inlineStr">
        <is>
          <t>enclosure/button-pod</t>
        </is>
      </c>
      <c r="G86" s="8" t="inlineStr">
        <is>
          <t>Back wall of the pod</t>
        </is>
      </c>
      <c r="H86" s="9" t="n"/>
      <c r="I86" s="10">
        <f>B86*H86</f>
        <v/>
      </c>
      <c r="J86" s="11" t="n"/>
      <c r="K86" s="12" t="n"/>
    </row>
    <row r="87">
      <c r="G87" s="13" t="inlineStr">
        <is>
          <t>Subtotal — Temperature: Readme, Temperatures</t>
        </is>
      </c>
      <c r="I87" s="14">
        <f>SUM(I76:I86)</f>
        <v/>
      </c>
    </row>
    <row r="88">
      <c r="A88" s="5" t="inlineStr">
        <is>
          <t>CHARGING: Delco 10SI 3-wire alternator (docs/wiring-schematic.jpg, section 7)</t>
        </is>
      </c>
      <c r="B88" s="5" t="n"/>
      <c r="C88" s="5" t="n"/>
      <c r="D88" s="5" t="n"/>
      <c r="E88" s="5" t="n"/>
      <c r="F88" s="5" t="n"/>
      <c r="G88" s="5" t="n"/>
      <c r="H88" s="5" t="n"/>
      <c r="I88" s="5" t="n"/>
      <c r="J88" s="5" t="n"/>
      <c r="K88" s="5" t="n"/>
    </row>
    <row r="89">
      <c r="A89" s="6" t="n">
        <v>65</v>
      </c>
      <c r="B89" s="7" t="n">
        <v>1</v>
      </c>
      <c r="C89" s="8" t="inlineStr">
        <is>
          <t>Rectifier diode</t>
        </is>
      </c>
      <c r="D89" s="8" t="inlineStr">
        <is>
          <t>1N4001, 1 A 50 V</t>
        </is>
      </c>
      <c r="E89" s="8" t="inlineStr">
        <is>
          <t>1N4001</t>
        </is>
      </c>
      <c r="F89" s="6" t="inlineStr">
        <is>
          <t>Sch. 7</t>
        </is>
      </c>
      <c r="G89" s="8" t="inlineStr">
        <is>
          <t>In the terminal 1 (excite) wire, band toward the alternator: stops the running alternator back-feeding the key circuit (engine run-on, dash never sees key-off)</t>
        </is>
      </c>
      <c r="H89" s="9" t="n"/>
      <c r="I89" s="10">
        <f>B89*H89</f>
        <v/>
      </c>
      <c r="J89" s="11" t="n"/>
      <c r="K89" s="12" t="n"/>
    </row>
    <row r="90">
      <c r="A90" s="6" t="n">
        <v>66</v>
      </c>
      <c r="B90" s="7" t="n">
        <v>1</v>
      </c>
      <c r="C90" s="8" t="inlineStr">
        <is>
          <t>Resistor 47 Ω</t>
        </is>
      </c>
      <c r="D90" s="8" t="inlineStr">
        <is>
          <t>5 W wirewound</t>
        </is>
      </c>
      <c r="E90" s="8" t="inlineStr">
        <is>
          <t>—</t>
        </is>
      </c>
      <c r="F90" s="6" t="inlineStr">
        <is>
          <t>Sch. 7</t>
        </is>
      </c>
      <c r="G90" s="8" t="inlineStr">
        <is>
          <t>In series with the diode: ~0.25 A with the key on and the engine stopped, like the charge lamp it replaces. Use the alternator maker's value if they give one</t>
        </is>
      </c>
      <c r="H90" s="9" t="n"/>
      <c r="I90" s="10">
        <f>B90*H90</f>
        <v/>
      </c>
      <c r="J90" s="11" t="n"/>
      <c r="K90" s="12" t="n"/>
    </row>
    <row r="91">
      <c r="A91" s="6" t="n">
        <v>67</v>
      </c>
      <c r="B91" s="7" t="n">
        <v>1</v>
      </c>
      <c r="C91" s="8" t="inlineStr">
        <is>
          <t>Fusible link or circuit breaker</t>
        </is>
      </c>
      <c r="D91" s="8" t="inlineStr">
        <is>
          <t>Rated for the alternator (e.g. 60 A)</t>
        </is>
      </c>
      <c r="E91" s="8" t="inlineStr">
        <is>
          <t>—</t>
        </is>
      </c>
      <c r="F91" s="6" t="inlineStr">
        <is>
          <t>Sch. 7</t>
        </is>
      </c>
      <c r="G91" s="8" t="inlineStr">
        <is>
          <t>On the BAT stud wire, near the battery end. 8 AWG wire (10 AWG for 45 A units)</t>
        </is>
      </c>
      <c r="H91" s="9" t="n"/>
      <c r="I91" s="10">
        <f>B91*H91</f>
        <v/>
      </c>
      <c r="J91" s="11" t="n"/>
      <c r="K91" s="12" t="n"/>
    </row>
    <row r="92">
      <c r="G92" s="13" t="inlineStr">
        <is>
          <t>Subtotal — Charging: Delco 10Si 3-Wire Alternator</t>
        </is>
      </c>
      <c r="I92" s="14">
        <f>SUM(I89:I91)</f>
        <v/>
      </c>
    </row>
    <row r="93">
      <c r="A93" s="5" t="inlineStr">
        <is>
          <t>WIRING + ENCLOSURE</t>
        </is>
      </c>
      <c r="B93" s="5" t="n"/>
      <c r="C93" s="5" t="n"/>
      <c r="D93" s="5" t="n"/>
      <c r="E93" s="5" t="n"/>
      <c r="F93" s="5" t="n"/>
      <c r="G93" s="5" t="n"/>
      <c r="H93" s="5" t="n"/>
      <c r="I93" s="5" t="n"/>
      <c r="J93" s="5" t="n"/>
      <c r="K93" s="5" t="n"/>
    </row>
    <row r="94">
      <c r="A94" s="6" t="n">
        <v>68</v>
      </c>
      <c r="B94" s="7" t="n">
        <v>1</v>
      </c>
      <c r="C94" s="8" t="inlineStr">
        <is>
          <t>Enclosure</t>
        </is>
      </c>
      <c r="D94" s="8" t="inlineStr">
        <is>
          <t>IP65+, fits Pi + interface boards</t>
        </is>
      </c>
      <c r="E94" s="8" t="inlineStr">
        <is>
          <t>—</t>
        </is>
      </c>
      <c r="F94" s="6" t="inlineStr">
        <is>
          <t>—</t>
        </is>
      </c>
      <c r="G94" s="8" t="inlineStr">
        <is>
          <t>Vibration-mount it</t>
        </is>
      </c>
      <c r="H94" s="9" t="n"/>
      <c r="I94" s="10">
        <f>B94*H94</f>
        <v/>
      </c>
      <c r="J94" s="11" t="n"/>
      <c r="K94" s="12" t="n"/>
    </row>
    <row r="95">
      <c r="A95" s="6" t="n">
        <v>69</v>
      </c>
      <c r="B95" s="7" t="n">
        <v>1</v>
      </c>
      <c r="C95" s="8" t="inlineStr">
        <is>
          <t>Prototype board</t>
        </is>
      </c>
      <c r="D95" s="8" t="inlineStr">
        <is>
          <t>Perfboard / stripboard</t>
        </is>
      </c>
      <c r="E95" s="8" t="inlineStr">
        <is>
          <t>—</t>
        </is>
      </c>
      <c r="F95" s="6" t="inlineStr">
        <is>
          <t>—</t>
        </is>
      </c>
      <c r="G95" s="8" t="inlineStr">
        <is>
          <t>Only if hand-wiring instead of the breakout board</t>
        </is>
      </c>
      <c r="H95" s="9" t="n"/>
      <c r="I95" s="10">
        <f>B95*H95</f>
        <v/>
      </c>
      <c r="J95" s="11" t="n"/>
      <c r="K95" s="12" t="n"/>
    </row>
    <row r="96">
      <c r="A96" s="6" t="n">
        <v>70</v>
      </c>
      <c r="B96" s="7" t="n">
        <v>1</v>
      </c>
      <c r="C96" s="8" t="inlineStr">
        <is>
          <t>Automotive wire</t>
        </is>
      </c>
      <c r="D96" s="8" t="inlineStr">
        <is>
          <t>18 AWG TXL/GXL, several colors</t>
        </is>
      </c>
      <c r="E96" s="8" t="inlineStr">
        <is>
          <t>—</t>
        </is>
      </c>
      <c r="F96" s="6" t="inlineStr">
        <is>
          <t>—</t>
        </is>
      </c>
      <c r="G96" s="8" t="inlineStr">
        <is>
          <t>Lot</t>
        </is>
      </c>
      <c r="H96" s="9" t="n"/>
      <c r="I96" s="10">
        <f>B96*H96</f>
        <v/>
      </c>
      <c r="J96" s="11" t="n"/>
      <c r="K96" s="12" t="n"/>
    </row>
    <row r="97">
      <c r="A97" s="6" t="n">
        <v>71</v>
      </c>
      <c r="B97" s="7" t="n">
        <v>1</v>
      </c>
      <c r="C97" s="8" t="inlineStr">
        <is>
          <t>Sealed connectors</t>
        </is>
      </c>
      <c r="D97" s="8" t="inlineStr">
        <is>
          <t>Deutsch DT or Weatherpack assortment</t>
        </is>
      </c>
      <c r="E97" s="8" t="inlineStr">
        <is>
          <t>—</t>
        </is>
      </c>
      <c r="F97" s="6" t="inlineStr">
        <is>
          <t>—</t>
        </is>
      </c>
      <c r="G97" s="8" t="inlineStr">
        <is>
          <t>Avoid loose Dupont jumpers on the machine</t>
        </is>
      </c>
      <c r="H97" s="9" t="n"/>
      <c r="I97" s="10">
        <f>B97*H97</f>
        <v/>
      </c>
      <c r="J97" s="11" t="n"/>
      <c r="K97" s="12" t="n"/>
    </row>
    <row r="98">
      <c r="A98" s="6" t="n">
        <v>72</v>
      </c>
      <c r="B98" s="7" t="n">
        <v>1</v>
      </c>
      <c r="C98" s="8" t="inlineStr">
        <is>
          <t>Screw terminal blocks</t>
        </is>
      </c>
      <c r="D98" s="8" t="inlineStr">
        <is>
          <t>PCB 5 mm pitch assortment</t>
        </is>
      </c>
      <c r="E98" s="8" t="inlineStr">
        <is>
          <t>—</t>
        </is>
      </c>
      <c r="F98" s="6" t="inlineStr">
        <is>
          <t>—</t>
        </is>
      </c>
      <c r="G98" s="8" t="inlineStr">
        <is>
          <t>Field wiring into the enclosure</t>
        </is>
      </c>
      <c r="H98" s="9" t="n"/>
      <c r="I98" s="10">
        <f>B98*H98</f>
        <v/>
      </c>
      <c r="J98" s="11" t="n"/>
      <c r="K98" s="12" t="n"/>
    </row>
    <row r="99">
      <c r="A99" s="6" t="n">
        <v>73</v>
      </c>
      <c r="B99" s="7" t="n">
        <v>1</v>
      </c>
      <c r="C99" s="8" t="inlineStr">
        <is>
          <t>Heat-shrink + terminals</t>
        </is>
      </c>
      <c r="D99" s="8" t="inlineStr">
        <is>
          <t>Assortment</t>
        </is>
      </c>
      <c r="E99" s="8" t="inlineStr">
        <is>
          <t>—</t>
        </is>
      </c>
      <c r="F99" s="6" t="inlineStr">
        <is>
          <t>—</t>
        </is>
      </c>
      <c r="G99" s="8" t="inlineStr">
        <is>
          <t>Lot</t>
        </is>
      </c>
      <c r="H99" s="9" t="n"/>
      <c r="I99" s="10">
        <f>B99*H99</f>
        <v/>
      </c>
      <c r="J99" s="11" t="n"/>
      <c r="K99" s="12" t="n"/>
    </row>
    <row r="100">
      <c r="A100" s="6" t="n">
        <v>74</v>
      </c>
      <c r="B100" s="7" t="n">
        <v>1</v>
      </c>
      <c r="C100" s="8" t="inlineStr">
        <is>
          <t>Display mount</t>
        </is>
      </c>
      <c r="D100" s="8" t="inlineStr">
        <is>
          <t>RAM-style ball mount or bracket</t>
        </is>
      </c>
      <c r="E100" s="8" t="inlineStr">
        <is>
          <t>—</t>
        </is>
      </c>
      <c r="F100" s="6" t="inlineStr">
        <is>
          <t>—</t>
        </is>
      </c>
      <c r="G100" s="8" t="inlineStr">
        <is>
          <t>With vibration damping</t>
        </is>
      </c>
      <c r="H100" s="9" t="n"/>
      <c r="I100" s="10">
        <f>B100*H100</f>
        <v/>
      </c>
      <c r="J100" s="11" t="n"/>
      <c r="K100" s="12" t="n"/>
    </row>
    <row r="101">
      <c r="A101" s="6" t="n">
        <v>75</v>
      </c>
      <c r="B101" s="7" t="n">
        <v>1</v>
      </c>
      <c r="C101" s="8" t="inlineStr">
        <is>
          <t>Standoffs</t>
        </is>
      </c>
      <c r="D101" s="8" t="inlineStr">
        <is>
          <t>M2.5 nylon/brass set</t>
        </is>
      </c>
      <c r="E101" s="8" t="inlineStr">
        <is>
          <t>—</t>
        </is>
      </c>
      <c r="F101" s="6" t="inlineStr">
        <is>
          <t>—</t>
        </is>
      </c>
      <c r="G101" s="8" t="inlineStr">
        <is>
          <t>Mount the Pi and the plug-in modules</t>
        </is>
      </c>
      <c r="H101" s="9" t="n"/>
      <c r="I101" s="10">
        <f>B101*H101</f>
        <v/>
      </c>
      <c r="J101" s="11" t="n"/>
      <c r="K101" s="12" t="n"/>
    </row>
    <row r="102">
      <c r="A102" s="6" t="n">
        <v>76</v>
      </c>
      <c r="B102" s="7" t="n">
        <v>9</v>
      </c>
      <c r="C102" s="8" t="inlineStr">
        <is>
          <t>M3 standoff + screws</t>
        </is>
      </c>
      <c r="D102" s="8" t="inlineStr">
        <is>
          <t>10 mm or taller, all the same height</t>
        </is>
      </c>
      <c r="E102" s="8" t="inlineStr">
        <is>
          <t>—</t>
        </is>
      </c>
      <c r="F102" s="6" t="inlineStr">
        <is>
          <t>Board README</t>
        </is>
      </c>
      <c r="G102" s="8" t="inlineStr">
        <is>
          <t>Breakout board mounting: 4 corners, 4 mid-sides, 1 centre (drilling template)</t>
        </is>
      </c>
      <c r="H102" s="9" t="n"/>
      <c r="I102" s="10">
        <f>B102*H102</f>
        <v/>
      </c>
      <c r="J102" s="11" t="n"/>
      <c r="K102" s="12" t="n"/>
    </row>
    <row r="103">
      <c r="G103" s="13" t="inlineStr">
        <is>
          <t>Subtotal — Wiring + Enclosure</t>
        </is>
      </c>
      <c r="I103" s="14">
        <f>SUM(I94:I102)</f>
        <v/>
      </c>
    </row>
    <row r="104">
      <c r="A104" s="5" t="inlineStr">
        <is>
          <t>EXISTING MACHINE PARTS (reuse, check they work)</t>
        </is>
      </c>
      <c r="B104" s="5" t="n"/>
      <c r="C104" s="5" t="n"/>
      <c r="D104" s="5" t="n"/>
      <c r="E104" s="5" t="n"/>
      <c r="F104" s="5" t="n"/>
      <c r="G104" s="5" t="n"/>
      <c r="H104" s="5" t="n"/>
      <c r="I104" s="5" t="n"/>
      <c r="J104" s="5" t="n"/>
      <c r="K104" s="5" t="n"/>
    </row>
    <row r="105">
      <c r="A105" s="6" t="n">
        <v>77</v>
      </c>
      <c r="B105" s="7" t="n">
        <v>1</v>
      </c>
      <c r="C105" s="8" t="inlineStr">
        <is>
          <t>Oil pressure switch</t>
        </is>
      </c>
      <c r="D105" s="8" t="inlineStr">
        <is>
          <t>Original, closes on low pressure</t>
        </is>
      </c>
      <c r="E105" s="8" t="inlineStr">
        <is>
          <t>—</t>
        </is>
      </c>
      <c r="F105" s="6" t="inlineStr">
        <is>
          <t>Sch. 5</t>
        </is>
      </c>
      <c r="G105" s="8" t="inlineStr">
        <is>
          <t>GPIO 22 via optocoupler</t>
        </is>
      </c>
      <c r="H105" s="9" t="n"/>
      <c r="I105" s="10">
        <f>B105*H105</f>
        <v/>
      </c>
      <c r="J105" s="11" t="n"/>
      <c r="K105" s="12" t="n"/>
    </row>
    <row r="106">
      <c r="A106" s="6" t="n">
        <v>78</v>
      </c>
      <c r="B106" s="7" t="n">
        <v>1</v>
      </c>
      <c r="C106" s="8" t="inlineStr">
        <is>
          <t>Hydraulic filter bypass switch</t>
        </is>
      </c>
      <c r="D106" s="8" t="inlineStr">
        <is>
          <t>Original, closes on bypass</t>
        </is>
      </c>
      <c r="E106" s="8" t="inlineStr">
        <is>
          <t>—</t>
        </is>
      </c>
      <c r="F106" s="6" t="inlineStr">
        <is>
          <t>Sch. 5</t>
        </is>
      </c>
      <c r="G106" s="8" t="inlineStr">
        <is>
          <t>ADS1115 A2, monitored (4.7k EOL resistor at the switch)</t>
        </is>
      </c>
      <c r="H106" s="9" t="n"/>
      <c r="I106" s="10">
        <f>B106*H106</f>
        <v/>
      </c>
      <c r="J106" s="11" t="n"/>
      <c r="K106" s="12" t="n"/>
    </row>
    <row r="107">
      <c r="A107" s="6" t="n">
        <v>79</v>
      </c>
      <c r="B107" s="7" t="n">
        <v>1</v>
      </c>
      <c r="C107" s="8" t="inlineStr">
        <is>
          <t>Hydraulic oil temp switch</t>
        </is>
      </c>
      <c r="D107" s="8" t="inlineStr">
        <is>
          <t>Original, closes when hot</t>
        </is>
      </c>
      <c r="E107" s="8" t="inlineStr">
        <is>
          <t>—</t>
        </is>
      </c>
      <c r="F107" s="6" t="inlineStr">
        <is>
          <t>Sch. 5</t>
        </is>
      </c>
      <c r="G107" s="8" t="inlineStr">
        <is>
          <t>ADS1115 A3, monitored (4.7k EOL resistor at the switch)</t>
        </is>
      </c>
      <c r="H107" s="9" t="n"/>
      <c r="I107" s="10">
        <f>B107*H107</f>
        <v/>
      </c>
      <c r="J107" s="11" t="n"/>
      <c r="K107" s="12" t="n"/>
    </row>
    <row r="108">
      <c r="A108" s="6" t="n">
        <v>80</v>
      </c>
      <c r="B108" s="7" t="n">
        <v>1</v>
      </c>
      <c r="C108" s="8" t="inlineStr">
        <is>
          <t>Fuel sender</t>
        </is>
      </c>
      <c r="D108" s="8" t="inlineStr">
        <is>
          <t>Original, in tank</t>
        </is>
      </c>
      <c r="E108" s="8" t="inlineStr">
        <is>
          <t>—</t>
        </is>
      </c>
      <c r="F108" s="6" t="inlineStr">
        <is>
          <t>Sch. 4</t>
        </is>
      </c>
      <c r="G108" s="8" t="inlineStr">
        <is>
          <t>Calibrate with dash.py --calibrate</t>
        </is>
      </c>
      <c r="H108" s="9" t="n"/>
      <c r="I108" s="10">
        <f>B108*H108</f>
        <v/>
      </c>
      <c r="J108" s="11" t="n"/>
      <c r="K108" s="12" t="n"/>
    </row>
    <row r="109">
      <c r="G109" s="13" t="inlineStr">
        <is>
          <t>Subtotal — Existing Machine Parts</t>
        </is>
      </c>
      <c r="I109" s="14">
        <f>SUM(I105:I108)</f>
        <v/>
      </c>
    </row>
    <row r="111">
      <c r="G111" s="15" t="inlineStr">
        <is>
          <t>TOTAL (all sections)</t>
        </is>
      </c>
      <c r="I111" s="16">
        <f>I14+I20+I34+I40+I51+I59+I68+I74+I87+I92+I103+I109</f>
        <v/>
      </c>
    </row>
    <row r="112">
      <c r="G112" s="17" t="inlineStr">
        <is>
          <t>Items still to order (excl. existing parts)</t>
        </is>
      </c>
      <c r="I112" s="18">
        <f>COUNTIF(B6:B103,"&gt;0")-COUNTIF(K6:K103,"Y")</f>
        <v/>
      </c>
    </row>
    <row r="114">
      <c r="A114" s="19" t="inlineStr">
        <is>
          <t>Notes: Qty in blue = quantity per machine. Existing machine parts usually cost $0 unless one needs replacing. Prices are left blank on purpose. Enter what you actually pay.</t>
        </is>
      </c>
    </row>
  </sheetData>
  <autoFilter ref="A5:K109"/>
  <mergeCells count="1">
    <mergeCell ref="A3:K3"/>
  </mergeCells>
  <dataValidations count="1">
    <dataValidation sqref="K7 K8 K9 K10 K11 K12 K13 K16 K17 K18 K19 K22 K23 K24 K25 K26 K27 K28 K29 K30 K31 K32 K33 K36 K37 K38 K39 K42 K43 K44 K45 K46 K47 K48 K49 K50 K53 K54 K55 K56 K57 K58 K61 K62 K63 K64 K65 K66 K67 K70 K71 K72 K73 K76 K77 K78 K79 K80 K81 K82 K83 K84 K85 K86 K89 K90 K91 K94 K95 K96 K97 K98 K99 K100 K101 K102 K105 K106 K107 K108" showDropDown="0" showInputMessage="0" showErrorMessage="0" allowBlank="1" type="list">
      <formula1>"Y,N"</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2026-10-24T13:12:20Z</dcterms:created>
  <dcterms:modified xsi:type="dcterms:W3CDTF">2026-10-24T13:12:20Z</dcterms:modified>
</cp:coreProperties>
</file>